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a1bfaa16a24619" /></Relationships>
</file>

<file path=xl/workbook.xml><?xml version="1.0" encoding="utf-8"?>
<x:workbook xmlns:x="http://schemas.openxmlformats.org/spreadsheetml/2006/main">
  <x:sheets>
    <x:sheet xmlns:r="http://schemas.openxmlformats.org/officeDocument/2006/relationships" name="Instructions" sheetId="1" r:id="R9223cc1b826040dd"/>
    <x:sheet xmlns:r="http://schemas.openxmlformats.org/officeDocument/2006/relationships" name="Reviewer_1" sheetId="2" r:id="R8953a614d37c40aa"/>
    <x:sheet xmlns:r="http://schemas.openxmlformats.org/officeDocument/2006/relationships" name="Reviewer_2" sheetId="3" r:id="R41caf4529cb44153"/>
    <x:sheet xmlns:r="http://schemas.openxmlformats.org/officeDocument/2006/relationships" name="Conflict_Resolution" sheetId="4" r:id="R6a296f0bed544927"/>
    <x:sheet xmlns:r="http://schemas.openxmlformats.org/officeDocument/2006/relationships" name="Source_Summary" sheetId="5" r:id="R50e7e3503f604602"/>
    <x:sheet xmlns:r="http://schemas.openxmlformats.org/officeDocument/2006/relationships" name="Validation_Lists" sheetId="6" r:id="R929c7a7f30a948fd"/>
    <x:sheet xmlns:r="http://schemas.openxmlformats.org/officeDocument/2006/relationships" name="Agent_Review_Summary" sheetId="7" r:id="R6a44115958b04b4e"/>
  </x:sheets>
</x:workbook>
</file>

<file path=xl/sharedStrings.xml><?xml version="1.0" encoding="utf-8"?>
<x:sst xmlns:x="http://schemas.openxmlformats.org/spreadsheetml/2006/main">
  <x:si>
    <x:t xml:space="preserve">Effects of SGLT2 Inhibitors in Patients Undergoing Cardiac Surgery — Title and Abstract Screening Workbook</x:t>
  </x:si>
  <x:si>
    <x:t xml:space="preserve">Section</x:t>
  </x:si>
  <x:si>
    <x:t xml:space="preserve">Instruction</x:t>
  </x:si>
  <x:si>
    <x:t xml:space="preserve">Project</x:t>
  </x:si>
  <x:si>
    <x:t xml:space="preserve">Effects of SGLT2 Inhibitors in Patients Undergoing Cardiac Surgery</x:t>
  </x:si>
  <x:si>
    <x:t xml:space="preserve">Project ID</x:t>
  </x:si>
  <x:si>
    <x:t xml:space="preserve">sglt2i_cardiac_surgery</x:t>
  </x:si>
  <x:si>
    <x:t xml:space="preserve">Purpose</x:t>
  </x:si>
  <x:si>
    <x:t xml:space="preserve">This workbook is used for independent title and abstract screening of records identified for this systematic review.</x:t>
  </x:si>
  <x:si>
    <x:t xml:space="preserve">Independent review</x:t>
  </x:si>
  <x:si>
    <x:t xml:space="preserve">Reviewer 1 and Reviewer 2 must screen records independently. Do not review or modify the other reviewer's decisions.</x:t>
  </x:si>
  <x:si>
    <x:t xml:space="preserve">Reviewer 1</x:t>
  </x:si>
  <x:si>
    <x:t xml:space="preserve">Reviewer 2</x:t>
  </x:si>
  <x:si>
    <x:t xml:space="preserve">Decision: Include</x:t>
  </x:si>
  <x:si>
    <x:t xml:space="preserve">Select Include when the title or abstract appears potentially eligible according to the review protocol.</x:t>
  </x:si>
  <x:si>
    <x:t xml:space="preserve">Decision: Exclude</x:t>
  </x:si>
  <x:si>
    <x:t xml:space="preserve">Select Exclude only when the record clearly fails an eligibility criterion at the title/abstract stage.</x:t>
  </x:si>
  <x:si>
    <x:t xml:space="preserve">Decision: Unclear</x:t>
  </x:si>
  <x:si>
    <x:t xml:space="preserve">Select Unclear when eligibility cannot be determined from the available title and abstract.</x:t>
  </x:si>
  <x:si>
    <x:t xml:space="preserve">Exclusion reason</x:t>
  </x:si>
  <x:si>
    <x:t xml:space="preserve">When Exclude is selected, choose the single most appropriate exclusion reason. Detailed full-text reasons will be recorded later.</x:t>
  </x:si>
  <x:si>
    <x:t xml:space="preserve">Conflict resolution</x:t>
  </x:si>
  <x:si>
    <x:t xml:space="preserve">The Conflict_Resolution sheet automatically compares decisions. Records marked Conflict require discussion or adjudication.</x:t>
  </x:si>
  <x:si>
    <x:t xml:space="preserve">Protocol authority</x:t>
  </x:si>
  <x:si>
    <x:t xml:space="preserve">The finalized protocol and predefined eligibility criteria take precedence over the generic categories in this workbook.</x:t>
  </x:si>
  <x:si>
    <x:t xml:space="preserve">Missing abstract</x:t>
  </x:si>
  <x:si>
    <x:t xml:space="preserve">Do not automatically exclude a record solely because the abstract is missing. Use title and available citation data and select Unclear when necessary.</x:t>
  </x:si>
  <x:si>
    <x:t xml:space="preserve">Audit trail</x:t>
  </x:si>
  <x:si>
    <x:t xml:space="preserve">Do not delete records or rows. Enter decisions only in the designated screening columns.</x:t>
  </x:si>
  <x:si>
    <x:t xml:space="preserve">Workbook generated</x:t>
  </x:si>
  <x:si>
    <x:t xml:space="preserve">2026-08-02 12:03:21</x:t>
  </x:si>
  <x:si>
    <x:t xml:space="preserve">Source dataset</x:t>
  </x:si>
  <x:si>
    <x:t xml:space="preserve">C:/Users/Jason/Projects/srma-agent-toolkit/data/processed/search/deduplicated_records_for_screening.csv</x:t>
  </x:si>
  <x:si>
    <x:t xml:space="preserve">Effects of SGLT2 Inhibitors in Patients Undergoing Cardiac Surgery — Independent Screening</x:t>
  </x:si>
  <x:si>
    <x:t xml:space="preserve">Reviewer: Reviewer 1. Select Include, Exclude, or Unclear. When Exclude is selected, record one exclusion reason.</x:t>
  </x:si>
  <x:si>
    <x:t xml:space="preserve">screening_id</x:t>
  </x:si>
  <x:si>
    <x:t xml:space="preserve">source_databases</x:t>
  </x:si>
  <x:si>
    <x:t xml:space="preserve">title</x:t>
  </x:si>
  <x:si>
    <x:t xml:space="preserve">abstract</x:t>
  </x:si>
  <x:si>
    <x:t xml:space="preserve">authors</x:t>
  </x:si>
  <x:si>
    <x:t xml:space="preserve">year</x:t>
  </x:si>
  <x:si>
    <x:t xml:space="preserve">journal</x:t>
  </x:si>
  <x:si>
    <x:t xml:space="preserve">doi</x:t>
  </x:si>
  <x:si>
    <x:t xml:space="preserve">pmid</x:t>
  </x:si>
  <x:si>
    <x:t xml:space="preserve">publication_type</x:t>
  </x:si>
  <x:si>
    <x:t xml:space="preserve">language</x:t>
  </x:si>
  <x:si>
    <x:t xml:space="preserve">url</x:t>
  </x:si>
  <x:si>
    <x:t xml:space="preserve">reviewer</x:t>
  </x:si>
  <x:si>
    <x:t xml:space="preserve">decision</x:t>
  </x:si>
  <x:si>
    <x:t xml:space="preserve">exclusion_reason</x:t>
  </x:si>
  <x:si>
    <x:t xml:space="preserve">confidence</x:t>
  </x:si>
  <x:si>
    <x:t xml:space="preserve">notes</x:t>
  </x:si>
  <x:si>
    <x:t xml:space="preserve">screened_at</x:t>
  </x:si>
  <x:si>
    <x:t xml:space="preserve">SCR_000001</x:t>
  </x:si>
  <x:si>
    <x:t xml:space="preserve">PubMed; Embase</x:t>
  </x:si>
  <x:si>
    <x:t xml:space="preserve">Association between SGLT2 inhibitors and outcomes after heart transplant in patients with type 2 diabetes: A systematic review and meta-analysis.</x:t>
  </x:si>
  <x:si>
    <x:t xml:space="preserve">Sodium-glucose cotransporter 2 inhibitors (SGLT2i) are recommended for multiple populations-type 2 diabetes (T2D), chronic kidney disease, and heart failure-but their role after heart transplant (HTX) remains unclear. We searched PubMed, Cochrane, and Embase for studies of HTX recipients with T2D comparing outcomes in SGLT2i users vs. non-users. Outcomes of interest were all-cause mortality, urinary tract infection (UTI), and estimated glomerular filtration rate (eGFR) change from baseline. Odds ratios (ORs) and adjusted hazard ratios (aHRs) with 95% confidence intervals (CIs) were pooled using a random-effects model for binary outcomes. Three retrospective observational studies were included in the all-cause mortality meta-analysis, four in the UTI incidence meta-analysis, and five in the qualitative analysis evaluating eGFR change (n = 3,564). Mean follow-up ranged from 9 to 83 months. SGLT2i use was associated with a lower risk of all-cause mortality compared with non-use in both unadjusted (OR 0.43; 95% CI 0.26-0.71; p &lt; 0.001; I² = 79%) and adjusted analyses (aHR 0.69; 95% CI 0.51-0.93; p = 0.02; I² = 20%), without increasing the risk of UTI (OR 0.77; 95% CI 0.14-4.05; p = 0.75; I² = 48%). Most studies suggested stable or increased eGFR from baseline with SGLT2i exposure. SGLT2i use, compared with non-use, was associated with lower all-cause mortality without an increased incidence of UTIs in HTX recipients with T2D. Additionally, the pooled data suggest a possible renal benefit. The totality of these observational data, despite their limitations, provide important context for ongoing SGLT2i use following HTX.</x:t>
  </x:si>
  <x:si>
    <x:t xml:space="preserve">Costa TA; de Sousa LMT; Nogueira A; Chagas GCL; Abreu M; Allen LA; Cornwell WK; Harrington J</x:t>
  </x:si>
  <x:si>
    <x:t xml:space="preserve">2026</x:t>
  </x:si>
  <x:si>
    <x:t xml:space="preserve">Heart failure reviews</x:t>
  </x:si>
  <x:si>
    <x:t xml:space="preserve">10.1007/s10741-026-10641-3</x:t>
  </x:si>
  <x:si>
    <x:t xml:space="preserve">42249978</x:t>
  </x:si>
  <x:si>
    <x:t xml:space="preserve">Journal Article; Systematic Review; Meta-Analysis; Review; JOUR; Short Survey</x:t>
  </x:si>
  <x:si>
    <x:t xml:space="preserve">eng; English</x:t>
  </x:si>
  <x:si>
    <x:t xml:space="preserve">https://pubmed.ncbi.nlm.nih.gov/42249978/</x:t>
  </x:si>
  <x:si>
    <x:t xml:space="preserve">SCR_000002</x:t>
  </x:si>
  <x:si>
    <x:t xml:space="preserve">PubMed; CENTRAL</x:t>
  </x:si>
  <x:si>
    <x:t xml:space="preserve">Cardiovascular Outcomes of Perioperative Sodium-Glucose Transporter 2 Inhibition in Cardiac Surgery Patients: An Open-Label Randomized Pilot Study.</x:t>
  </x:si>
  <x:si>
    <x:t xml:space="preserve">BACKGROUND: Previous studies have shown cardiovascular benefits of SGLT2 inhibitors. The aim of this study was to evaluate the cardiovascular effects of perioperative SGLT2 inhibition in patients undergoing cardiac surgery. METHODS: In this open-label pilot study, adult patients undergoing cardiac surgery were randomized to receive a daily dose of empagliflozin (10 mg; oral) 3 days before surgery until 2 days after surgery, or standard of care. Blood pressure, heart rate, postoperative diuresis, intravenous fluid administration, fluid balance, and vasoactive support were compared between groups during the first 24 postoperative hours. RESULTS: About 55 patients (sex: 73% male, age: 66 ± 10 years, BMI: 28 ± 4 kg/m2, empagliflozin n = 25, control n = 30) were included in this study and analyzed according to the intention-to-treat principle. Empagliflozin was associated with increased diuresis, mean difference 549 mL (95% CI 258-839, p &lt; 0.001), and less positive fluid balance postoperatively, mean difference -1217 mL (95% CI -2373- -61, p = 0.039). Empagliflozin did not increase the amount of intravenous fluid administered. In the empagliflozin group, norepinephrine was infused for 11.8 ± 11.5 h compared to 19.3 ± 19.3 h in the control group (p = 0.080). No significant between-group differences were observed in postoperative blood pressure and heart rate. CONCLUSIONS: Perioperative SGLT2 inhibition was associated with increased diuresis and lesser fluid accumulation without an increase in vasopressor requirement. These data warrant validation and further evaluation in a larger-scale, double-blind, placebo-controlled trial. EDITORIAL COMMENT: In this sub-study of the randomized MERCURI-2 trial of perioperative empagliflozin for nondiabetics in cardiac surgery, the authors describe the hemodynamic outcomes and fluid status of the patients. The authors noted a higher urine output and a more negative fluid balance in the intervention group compared to the placebo group. An interesting observation is the trend towards lower noradrenaline usage, although this cannot be concluded with confidence based on this data. The findings support considering and further studying the use of these medications for patients with cardiovascular disease undergoing surgery. TRIAL REGISTRATION: https://onderzoekmetmensen.nl/en/trial/26563 Identifier: NL9561.</x:t>
  </x:si>
  <x:si>
    <x:t xml:space="preserve">Snel LIP; Oosterom-Eijmael MJP; Lankadeva YR; Plummer MP; Preckel B; Zuurbier CJ; Hermanides J; van Raalte DH; Hulst AH</x:t>
  </x:si>
  <x:si>
    <x:t xml:space="preserve">2025</x:t>
  </x:si>
  <x:si>
    <x:t xml:space="preserve">Acta anaesthesiologica Scandinavica</x:t>
  </x:si>
  <x:si>
    <x:t xml:space="preserve">10.1111/aas.70075</x:t>
  </x:si>
  <x:si>
    <x:t xml:space="preserve">40545263</x:t>
  </x:si>
  <x:si>
    <x:t xml:space="preserve">Journal Article; Randomized Controlled Trial; JOUR; Journal article</x:t>
  </x:si>
  <x:si>
    <x:t xml:space="preserve">eng</x:t>
  </x:si>
  <x:si>
    <x:t xml:space="preserve">https://pubmed.ncbi.nlm.nih.gov/40545263/</x:t>
  </x:si>
  <x:si>
    <x:t xml:space="preserve">SCR_000003</x:t>
  </x:si>
  <x:si>
    <x:t xml:space="preserve">[Current aspects of heart-kidney interactions : Summary of important clinical studies from 2020].</x:t>
  </x:si>
  <x:si>
    <x:t xml:space="preserve">Patients with chronic kidney diseases show an increased cardiovascular morbidity and mortality. Last year a number of important studies on heart-kidney interaction were published, which are summarized and discussed in this article. In the DAPA-CKD study and the SCORED study two different sodium-glucose linked transporter 2 (SGLT2) inhibitors (dapagliflozin and sotagliflozin) were found to improve the prognosis of patients with chronic kidney diseases with and without diabetes. The results of the randomized study on the new mineralocorticoid receptor antagonist finerenon (FIDELIO-DKD) also provided a very promising novel treatment approach for patients with diabetic nephropathy. The published data of the ISCHEMIA-CKD study in patients with coronary heart disease and investigations on the influence of transcatheter aortic valve implantation (TAVI) on renal function as well as another study on acute kidney failure after MitraClip® (Abbott, Chicago, IL, USA) implantation provide important indications for future treatment recommendations. The optimal timing of the initiation of kidney replacement therapy in patients with acute kidney damage in intensive care medicine was investigated in two randomized studies, which are correspondingly discussed.</x:t>
  </x:si>
  <x:si>
    <x:t xml:space="preserve">Emrich IE; Tokcan M; Al Ghorani H; Schwenger V; Mahfoud F</x:t>
  </x:si>
  <x:si>
    <x:t xml:space="preserve">2022</x:t>
  </x:si>
  <x:si>
    <x:t xml:space="preserve">Herz</x:t>
  </x:si>
  <x:si>
    <x:t xml:space="preserve">10.1007/s00059-021-05043-0</x:t>
  </x:si>
  <x:si>
    <x:t xml:space="preserve">34106300</x:t>
  </x:si>
  <x:si>
    <x:t xml:space="preserve">Journal Article; Review; JOUR; Journal article</x:t>
  </x:si>
  <x:si>
    <x:t xml:space="preserve">ger</x:t>
  </x:si>
  <x:si>
    <x:t xml:space="preserve">https://pubmed.ncbi.nlm.nih.gov/34106300/</x:t>
  </x:si>
  <x:si>
    <x:t xml:space="preserve">SCR_000004</x:t>
  </x:si>
  <x:si>
    <x:t xml:space="preserve">Dapagliflozin for inpatient hyperglycemia in cardiac surgery patients with type 2 diabetes: randomised controlled trial (Dapa-Hospital trial).</x:t>
  </x:si>
  <x:si>
    <x:t xml:space="preserve">AIMS: To examine the efficacy and safety of dapagliflozin in the treatment of hyperglycemia in cardiac surgery patients with type 2 diabetes (T2D). METHODS: Cardiac surgery patients with T2D (n = 250) were randomly assigned (1:1) to receive dapagliflozin plus basal-bolus insulin (DAPA group) or basal-bolus insulin alone (INSULIN group) in the early postoperative period. The primary outcome was mean difference in daily blood glucose (BG) concentrations between groups. The major safety outcomes were the occurrence of severe ketonemia/diabetic ketoacidosis (DKA) and hypoglycemia. All analyses were performed according to the intention-to-treat principle. RESULTS: The median age of the patients was 61 years (range, 55-61), and 219 (87.6%) were men. Overall, the randomization blood glucose was 165 mg/dL (SD, 37) and glycated hemoglobin was 7.7% (SD, 1.4). There were no differences in mean daily BG concentrations (149 vs. 150 mg/dL), mean percentage of readings within target BG of 70-180 mg/dL (82.7% vs. 82.5%), total daily insulin dose (mean, 39 vs. 40 units/day), number of daily insulin injections (median, 3.9 vs. 4), length of hospital stay (median, 10 vs. 10 days), or hospital complications (21.6% vs. 24.8%) between the DAPA and INSULIN groups. The mean plasma ketone levels were significantly higher in the DAPA group than in the INSULIN group at day 3 (0.71 vs. 0.30 mmol/L) and day 5 (0.42 vs. 0.19 mmol/L) of randomization. Six patients in the DAPA group developed severe ketonemia, but no patient developed DKA. There were no differences in the proportion of patients with BG &lt; 70 mg/dL (9.6% vs. 7.2%) between the two groups. CONCLUSION: Dapagliflozin complementary to basal-bolus insulin does not improve glycemia further over and above the basal-bolus insulin alone in hospitalized cardiac surgery patients. Dapagliflozin significantly increases plasma ketones levels. Safety of dapagliflozin in hospitalized patients needs further investigation. Trial registration ClinicalTrials.gov NCT05457933.</x:t>
  </x:si>
  <x:si>
    <x:t xml:space="preserve">Kuchay MS; Khatana P; Mishra M; Surendran P; Kaur P; Wasir JS; Gill HK; Singh A; Jain R; Kohli C; Bakshi G; Radhika V; Saheer S; Singh MK; Mishra SK</x:t>
  </x:si>
  <x:si>
    <x:t xml:space="preserve">2023</x:t>
  </x:si>
  <x:si>
    <x:t xml:space="preserve">Acta diabetologica</x:t>
  </x:si>
  <x:si>
    <x:t xml:space="preserve">10.1007/s00592-023-02138-4</x:t>
  </x:si>
  <x:si>
    <x:t xml:space="preserve">37380728</x:t>
  </x:si>
  <x:si>
    <x:t xml:space="preserve">Randomized Controlled Trial; Journal Article; JOUR; Journal article</x:t>
  </x:si>
  <x:si>
    <x:t xml:space="preserve">https://pubmed.ncbi.nlm.nih.gov/37380728/</x:t>
  </x:si>
  <x:si>
    <x:t xml:space="preserve">SCR_000005</x:t>
  </x:si>
  <x:si>
    <x:t xml:space="preserve">DAPAgliflozin for renal protection in heart transplant recipients. Rationale and design of the randomized controlled DAPARHT trial.</x:t>
  </x:si>
  <x:si>
    <x:t xml:space="preserve">BACKGROUND AND AIMS: Heart transplantation is the preferred treatment for selected patients with end stage heart failure. Kidney function often declines after heart transplantation. Sodium-glucose cotransporter 2 inhibitors (SGLT2i) slow the decline in eGFR in different populations. However, the effect of SGLT2i on kidney function in heart transplant recipients is unknown. METHODS: The Dapagliflozin for Renal protection in Heart Transplant recipients (DAPARHT) trial is an investigator initiated, double blind, randomized, placebo-controlled trial designed to assess dapagliflozin's effect on kidney function in heart transplant recipients. Adults heart transplanted at least one year prior to randomization are eligible. Exclusion criteria include an estimated glomerular filtration rate (eGFR) &lt;25 mL/min/1.73 m2, diabetes type I, and contraindication to study medication. Four hundred and thirty patients will be randomized 1:1 to receive 12 months blinded treatment with dapagliflozin 10 mg o.d. or placebo, followed by 24-months open-label treatment. The primary endpoint is the chronic slope of the eGFR from two weeks to 12 months after starting randomized treatment. The open-label phase evaluates dapagliflozin's long-term effects on kidney function, clinical outcomes, safety, and tolerability. Enrolment began in June 2022. As of December 18, 2024, 300 patients were enrolled. The mean baseline creatinine was 104 ± 28 µmol/L with corresponding eGFR of 66 ± 22 mL/min/1.73 m2. Estimated last patient visit is in September, 2028. CONCLUSION: The DAPARHT trial will test whether dapagliflozin improves eGFR slope compared to placebo during one year of follow-up, providing the first randomized evidence of the efficacy of SGLT2i in heart transplant recipients. TRIAL REGISTRATION: Dapagliflozin for Renal protection in Heart Transplant recipients (DAPARHT), NCT05321706, clinicaltrials.gov.</x:t>
  </x:si>
  <x:si>
    <x:t xml:space="preserve">Holmen S; Manintveld O; Damman K; Braun O; Löfman IH; Szymanski M; Ravnestad H; Gude E; Bjørkelund E; Andreassen AK; Gullestad L; Broch K</x:t>
  </x:si>
  <x:si>
    <x:t xml:space="preserve">American heart journal</x:t>
  </x:si>
  <x:si>
    <x:t xml:space="preserve">10.1016/j.ahj.2025.08.010</x:t>
  </x:si>
  <x:si>
    <x:t xml:space="preserve">40840822</x:t>
  </x:si>
  <x:si>
    <x:t xml:space="preserve">Journal Article; Clinical Trial Protocol; JOUR; Journal article</x:t>
  </x:si>
  <x:si>
    <x:t xml:space="preserve">https://pubmed.ncbi.nlm.nih.gov/40840822/</x:t>
  </x:si>
  <x:si>
    <x:t xml:space="preserve">SCR_000006</x:t>
  </x:si>
  <x:si>
    <x:t xml:space="preserve">Dapagliflozin in Patients Undergoing Transcatheter Aortic-Valve Implantation.</x:t>
  </x:si>
  <x:si>
    <x:t xml:space="preserve">BACKGROUND: Sodium-glucose cotransporter 2 (SGLT2) inhibitors reduce the risk of heart-failure admission among high-risk patients. However, most patients with valvular heart disease, including those undergoing transcatheter aortic-valve implantation (TAVI), have been excluded from randomized trials. METHODS: We conducted this randomized, controlled trial in Spain to evaluate the efficacy of dapagliflozin (at a dose of 10 mg once daily) as compared with standard care alone in patients with aortic stenosis who were undergoing TAVI. All the patients had a history of heart failure plus at least one of the following: renal insufficiency, diabetes, or left ventricular systolic dysfunction. The primary outcome was a composite of death from any cause or worsening of heart failure, defined as hospitalization or an urgent visit, at 1 year of follow-up. RESULTS: A total of 620 patients were randomly assigned to receive dapagliflozin and 637 to receive standard care alone after TAVI; after exclusions, a total of 1222 patients were included in the primary analysis. A primary-outcome event occurred in 91 patients (15.0%) in the dapagliflozin group and in 124 patients (20.1%) in the standard-care group (hazard ratio, 0.72; 95% confidence interval [CI], 0.55 to 0.95; P = 0.02). Death from any cause occurred in 47 patients (7.8%) in the dapagliflozin group and in 55 (8.9%) in the standard-care group (hazard ratio, 0.87; 95% CI, 0.59 to 1.28). Worsening of heart failure occurred in 9.4% and 14.4% of the patients, respectively (subhazard ratio, 0.63; 95% CI, 0.45 to 0.88). Genital infection and hypotension were significantly more common in the dapagliflozin group. CONCLUSIONS: Among older adults with aortic stenosis undergoing TAVI who were at high risk for heart-failure events, dapagliflozin resulted in a significantly lower incidence of death from any cause or worsening of heart failure than standard care alone. (Funded by Instituto de Salud Carlos III and others; ClinicalTrials.gov number, NCT04696185.).</x:t>
  </x:si>
  <x:si>
    <x:t xml:space="preserve">Raposeiras-Roubin S; Amat-Santos IJ; Rossello X; González Ferreiro R; González Bermúdez I; Lopez Otero D; Nombela-Franco L; Gheorghe L; Diez JL; Baladrón Zorita C; Baz JA; Muñoz García AJ; Vilalta V; Ojeda-Pineda S; de la Torre Hernández JM; Cordoba Soriano JG; Regueiro A; Bordes Siscar P; Salgado Fernández J; Garcia Del Blanco B; Martín-Reyes R; Romaguera R; Moris C; García Blas S; Franco-Peláez JA; Cruz-González I; Arzamendi D; Romero Rodríguez N; Díez-Del Hoyo F; Camacho Freire S; Bosa Ojeda F; Astorga Burgo JC; Molina Navarro E; Caballero Borrego J; Ruiz Quevedo V; Sánchez-Recalde Á; Peral Disdier V; Alegría-Barrero E; Torres-Llergo J; Feltes G; Fernández Díaz JA; Cuellas C; Jiménez Britez G; Sánchez-Rubio Lezcano J; Barreiro-Pardal C; Núñez-Gil I; Abu-Assi E; Iñiguez-Romo A; Fuster V; Ibáñez B; DapaTAVI Investigators</x:t>
  </x:si>
  <x:si>
    <x:t xml:space="preserve">The New England journal of medicine</x:t>
  </x:si>
  <x:si>
    <x:t xml:space="preserve">10.1056/nejmoa2500366</x:t>
  </x:si>
  <x:si>
    <x:t xml:space="preserve">40162639</x:t>
  </x:si>
  <x:si>
    <x:t xml:space="preserve">Clinical Trial, Phase IV; Comparative Study; Journal Article; Multicenter Study; Pragmatic Clinical Trial; Randomized Controlled Trial; JOUR; Journal article</x:t>
  </x:si>
  <x:si>
    <x:t xml:space="preserve">https://pubmed.ncbi.nlm.nih.gov/40162639/</x:t>
  </x:si>
  <x:si>
    <x:t xml:space="preserve">SCR_000007</x:t>
  </x:si>
  <x:si>
    <x:t xml:space="preserve">Design and rationale of the EMPagliflozin after Aortic Valve Replacement (EMPAVR) study: A randomized clinical trial.</x:t>
  </x:si>
  <x:si>
    <x:t xml:space="preserve">INTRODUCTION: Left ventricular (LV) hypertrophy and dysfunction secondary to aortic stenosis (AS) are key components of the disease's underlying pathophysiology. Previous trials suggest that up to 1/3 of patients do not benefit symptomatically after aortic valve replacement (AVR), which could be explained by insufficient LV remodeling. Sodium‒glucose cotransporter-2 (SGLT2) inhibitors are effective in heart failure (HF) and have been shown to improve LV remodeling (change in LV mass). METHODS: The EMPAVR study is an investigator-initiated, randomized, placebo-controlled, and double-blinded trial comparing the effect of empagliflozin to placebo in patients with severe and symptomatic AS undergoing transcatheter aortic valve implantation (TAVI). The primary outcome for the EMPAVR trial is the difference in LV mass indexed to body surface area (measured by cardiac CT) from pre-AVR to 6 months post-AVR. Patients are randomized in a 1:1 ratio to 180 days of treatment. DISCUSSION: To the best of our knowledge, the EMPAVR study is the first placebo-controlled trial investigating the effects of SGLT2 inhibition in patients following TAVI because of AS. The EMPAVR study has the potential to pave the way for treatment of the LV in valvular heart disease and may help patients worldwide and expand our understanding of aortic stenosis. TRIAL REGISTRATION: The EMPAVR study was registered in December 2024 (Clinical Trial Registration number: NCT06171802) before enrollment of the first patient. All patients will provide oral and written informed consent. The EMPAVR study is approved by the Regional Committee on Health Research Ethics and the Danish Medicines Agency.</x:t>
  </x:si>
  <x:si>
    <x:t xml:space="preserve">Sørensen LM; Reinert MS; Raja AA; de Backer O; Bieliauskas G; Schou M; Jensen J; Møller ELR; Linde JJ; Kofoed KF; Kühl JT; Procida K; Petersen JK; Havers-Borgersen E; Køber L; Fosbøl E</x:t>
  </x:si>
  <x:si>
    <x:t xml:space="preserve">10.1016/j.ahj.2026.107432</x:t>
  </x:si>
  <x:si>
    <x:t xml:space="preserve">41903746</x:t>
  </x:si>
  <x:si>
    <x:t xml:space="preserve">https://pubmed.ncbi.nlm.nih.gov/41903746/</x:t>
  </x:si>
  <x:si>
    <x:t xml:space="preserve">SCR_000008</x:t>
  </x:si>
  <x:si>
    <x:t xml:space="preserve">Effect of Canagliflozin on Heart Failure Hospitalization in Diabetes According to Baseline Heart Failure Risk.</x:t>
  </x:si>
  <x:si>
    <x:t xml:space="preserve">BACKGROUND: In the CANVAS (Canagliflozin Cardiovascular Assessment Study) program, canagliflozin reduced the risk of heart failure (HF) hospitalization among individuals with type 2 diabetes mellitus (T2DM). OBJECTIVES: The purpose of this study was to evaluate heterogeneity in absolute and relative treatment effects of canagliflozin on HF hospitalization according to baseline HF risk as assessed by diabetes-specific HF risk scores (WATCH-DM [Weight (body mass index), Age, hyperTension, Creatinine, HDL-C, Diabetes control (fasting plasma glucose) and QRS Duration, MI and CABG] and TRS-HFDM [TIMI Risk Score for HF in Diabetes]). METHODS: Participants in the CANVAS trial were categorized into low, medium, and high risk for HF using the WATCH-DM score (for participants without prevalent HF) and the TRS-HFDM score (for all participants). The outcome of interest was time to first HF hospitalization. The treatment effect of canagliflozin vs placebo for HF hospitalization was compared across risk strata. RESULTS: Among 10,137 participants with available HF data, 1,446 (14.3%) had HF at baseline. Among participants without baseline HF, WATCH-DM risk category did not modify the treatment effect of canagliflozin (vs placebo) on HF hospitalization (P interaction = 0.56). However, the absolute and relative risk reduction with canagliflozin was numerically greater in the high-risk group (cumulative incidence, canagliflozin vs placebo: 8.1% vs 12.7%; HR: 0.62 [95% CI: 0.37-0.93]; P = 0.03; number needed to treat: 22) than in the low- and intermediate-risk groups. When overall study participants were categorized according to the TRS-HFDM score, a statistically significant difference in the treatment effect of canagliflozin across risk strata was observed (P interaction = 0.04). Canagliflozin significantly reduced the risk of HF hospitalization by 39% in the high-risk group (HR: 0.61 [95% CI: 0.48-0.78]; P &lt; 0.001; number needed to treat: 20) but not in the intermediate- or low-risk groups. CONCLUSIONS: Among participants with T2DM, the WATCH-DM and TRS-HFDM can reliably identify those at high risk for HF hospitalization and most likely to benefit from canagliflozin.</x:t>
  </x:si>
  <x:si>
    <x:t xml:space="preserve">Khan MS; Segar MW; Usman MS; Patel KV; Van Spall HGC; DeVore AD; Vaduganathan M; Lam CSP; Zannad F; Verma S; Butler J; Tang WHW; Pandey A</x:t>
  </x:si>
  <x:si>
    <x:t xml:space="preserve">JACC. Heart failure</x:t>
  </x:si>
  <x:si>
    <x:t xml:space="preserve">10.1016/j.jchf.2023.03.025</x:t>
  </x:si>
  <x:si>
    <x:t xml:space="preserve">37227388</x:t>
  </x:si>
  <x:si>
    <x:t xml:space="preserve">Clinical Trial; Journal Article; Research Support, N.I.H., Extramural; Research Support, Non-U.S. Gov't; JOUR; Journal article</x:t>
  </x:si>
  <x:si>
    <x:t xml:space="preserve">https://pubmed.ncbi.nlm.nih.gov/37227388/</x:t>
  </x:si>
  <x:si>
    <x:t xml:space="preserve">SCR_000009</x:t>
  </x:si>
  <x:si>
    <x:t xml:space="preserve">Effect of Dapagliflozin on Quality of Life of Patients With Aortic Stenosis Undergoing Transcatheter Aortic Valve Implantation.</x:t>
  </x:si>
  <x:si>
    <x:t xml:space="preserve">BACKGROUND: Patients with aortic stenosis who undergo transcatheter aortic valve implantation (TAVI) experience a great improvement in health status. Dapagliflozin has been shown to reduce death and heart failure (HF) in these patients. However, the impact of dapagliflozin on improving health status after TAVI is unknown. OBJECTIVES: In this prespecified analysis of the DapaTAVI (Dapagliflozin After Transcatheter Aortic Valve Implantation) trial, we examined the effects of dapagliflozin on health status by using the Kansas City Cardiomyopathy Questionnaire (KCCQ). METHODS: The DapaTAVI trial randomized patients undergoing TAVI to receive or not receive dapagliflozin. We assessed the change in KCCQ score from baseline to 3 and 12 months by using an ordinal logistic regression model. Additionally, we analyzed the effect of dapagliflozin on the composite of death or worsening HF by baseline KCCQ score. RESULTS: A total of 964 patients had baseline KCCQ scores (mean 39.5 ± 22.2). Patients in both arms of the study exhibited improvements in KCCQ score, without significant differences between groups in the change in KCCQ score at 3 or 12 months (3-month OR for improvement: 0.96; 95% CI: 0.72-1.26; P = 0.745; 12-month OR: 1.03; 95% CI: 0.83-1.27; P = 0.819). At 12 months, similar proportions of patients in the dapagliflozin and control groups showed clinically meaningful improvements, with 43.4% vs 45.4%, respectively, improving by &gt;50 points. The clinical benefits of dapagliflozin after TAVI appeared to be similar across the full range of baseline KCCQ scores. CONCLUSIONS: TAVI was associated with a substantial improvement in KCCQ scores. However, the addition of dapagliflozin following the procedure did not confer an additional benefit in health status compared with standard care. (Dapagliflozin After Transcatheter Aortic Valve Implantation [DapaTAVI]; NCT04696185).</x:t>
  </x:si>
  <x:si>
    <x:t xml:space="preserve">Bonanad-Lozano C; García Blas S; Amat-Santos I; Gonzalez-Manzanares R; Sanchís J; López Otero D; Nombela Franco L; Gheorge L; Sanz-Sánchez J; Baladrón Zorita C; Iñiguez Romo A; Muñoz García AJ; Vilalta V; Ojeda S; Veiga Fernández G; Córdoba Soriano JG; Cepas P; Sandín Rollán M; Ríos XF; Palma-Carbajal R; Martín Reyes R; Romaguera R; Avanzas P; Franco-Peláez JA; Martín Moreiras J; Gonzalez Juanatey JR; Tirado G; Calle G; Díez JL; Santos-Martínez S; Domínguez Erquicia P; García EM; Fernandez-Nofrerias E; López País J; Gonzalo N; Barri AG; Asmarats L; López Pérez M; Domínguez Rodríguez LM; Cobo M; González Bermúdez I; García Álvarez A; García Pavía P; Fuster V; Ibáñez B; Raposeiras-Roubín S</x:t>
  </x:si>
  <x:si>
    <x:t xml:space="preserve">Journal of the American College of Cardiology</x:t>
  </x:si>
  <x:si>
    <x:t xml:space="preserve">10.1016/j.jacc.2025.07.051</x:t>
  </x:si>
  <x:si>
    <x:t xml:space="preserve">41062227</x:t>
  </x:si>
  <x:si>
    <x:t xml:space="preserve">Clinical Trial, Phase IV; Journal Article; Multicenter Study; Pragmatic Clinical Trial; Randomized Controlled Trial; JOUR; Journal article</x:t>
  </x:si>
  <x:si>
    <x:t xml:space="preserve">https://pubmed.ncbi.nlm.nih.gov/41062227/</x:t>
  </x:si>
  <x:si>
    <x:t xml:space="preserve">SCR_000010</x:t>
  </x:si>
  <x:si>
    <x:t xml:space="preserve">Empagliflozin in Heart Failure and Previous Coronary Revascularization: Insights From EMPEROR-Pooled.</x:t>
  </x:si>
  <x:si>
    <x:t xml:space="preserve">BACKGROUND: Sodium glucose co-transporter-2 inhibitors are a foundational therapy for the management of chronic heart failure (HF). OBJECTIVES: The purpose of this study was to investigate whether the efficacy of sodium glucose co-transporter-2 inhibitors in patients with HF is maintained in patients with a history of coronary revascularization. METHODS: The EMPagliflozin outcomE tRial in Patients With chrOnic heaRt Failure (EMPEROR)-Pooled database was a prospectively designed pooled analysis of the EMPEROR-Reduced (NCT03057977) and EMPEROR-Preserved (NCT03057951) trials, which randomized patients with HF with a left ventricular ejection fraction below and above 40%, respectively, to empagliflozin or placebo. The primary outcome was time to first HF hospitalization or cardiovascular death. We studied the baseline risk of revascularized HF patients and the impact of previous revascularization on the efficacy and safety of empagliflozin. RESULTS: Overall, 3,437/9,718 (35.4%) had a history of coronary revascularization with either percutaneous coronary intervention or coronary artery bypass grafting (REVASC), and 6,281/9,718 (64.6%) did not (no REVASC). The median follow-up time was 21.23 months (IQR: 14.93-28.97 months). Of those randomized to placebo, a history of revascularization was not associated with an elevated risk of clinical outcomes, including the primary outcome and 3-point major adverse cardiac and cerebrovascular event. The efficacy and safety of empagliflozin were consistent irrespective of revascularization history for all major outcomes (primary outcome: REVASC: 0.76 [0.66-0.89], no REVASC: 0.77 [0.68-0.87], Pinteraction: 0.94). Empagliflozin had neutral effect on a 3-point major adverse cardiac and cerebrovascular event in both groups. CONCLUSIONS: In this large HF trial program, revascularized patients with HF exhibited similar rates of HF and ischemic events as those without prior revascularization. The efficacy and safety of empagliflozin in HF were consistent in those with and without a revascularization history.</x:t>
  </x:si>
  <x:si>
    <x:t xml:space="preserve">Dhingra NK; Butler J; Anker SD; Ferreira JP; Filippatos G; Pfarr E; Gasior T; Nordaby M; Brueckmann M; Pocock SJ; Zannad F; Packer M; Verma S; EMPEROR-Pooled Trial Committees and Investigators</x:t>
  </x:si>
  <x:si>
    <x:t xml:space="preserve">JACC. Advances</x:t>
  </x:si>
  <x:si>
    <x:t xml:space="preserve">10.1016/j.jacadv.2025.102419</x:t>
  </x:si>
  <x:si>
    <x:t xml:space="preserve">41609275</x:t>
  </x:si>
  <x:si>
    <x:t xml:space="preserve">Journal Article; JOUR; Journal article</x:t>
  </x:si>
  <x:si>
    <x:t xml:space="preserve">https://pubmed.ncbi.nlm.nih.gov/41609275/</x:t>
  </x:si>
  <x:si>
    <x:t xml:space="preserve">SCR_000011</x:t>
  </x:si>
  <x:si>
    <x:t xml:space="preserve">Empagliflozin in Patients With Type 2 Diabetes Undergoing On-Pump CABG: The POST-CABGDM Randomized Clinical Trial.</x:t>
  </x:si>
  <x:si>
    <x:t xml:space="preserve">OBJECTIVE: To evaluate the efficacy and safety of empagliflozin in patients with type 2 diabetes mellitus (T2DM) undergoing elective on-pump coronary artery bypass grafting (CABG). RESEARCH DESIGN AND METHODS: Investigator-initiated, pragmatic, single-center, randomized, open-label trial with blinded outcome adjudication conducted in Brazil. A total of 145 patients with T2DM scheduled for elective on-pump CABG were randomized to receive empagliflozin 25 mg daily plus standard care (n = 71) for at least 3 months, which was discontinued 72 h before surgery, or to received standard care alone (n = 74). The primary outcome was postoperative acute kidney injury (AKI) within 7 days of surgery, defined by creatinine-based criteria (namely, Acute Kidney Injury Network; Risk, Injury, Failure, Loss of Kidney Function, and End-Stage Kidney Disease; or Kidney Disease: Improving Global Outcomes). Secondary outcomes included 30-day postoperative atrial fibrillation and type 5 myocardial infarction (MI). Safety outcomes were ketoacidosis, urinary tract infection, hospital-acquired pneumonia, and wound infection within 30 days after CABG. RESULTS: AKI occurred in 22.5% of the empagliflozin group vs. 39.1% in the control group (relative risk [RR] 0.57 [95% CI 0.34-0.96]; P = 0.03). Rates of atrial fibrillation (15.4% vs. 13.5%; RR 1.15 [95% CI 0.52-2.53]; P = 0.73) and type 5 MI (1.4% vs. 4.1%; RR 0.35 [95% CI 0.04-3.26]; P = 0.62) were similar between groups. No statistically significant differences between groups were observed for safety events. Three deaths occurred, all in the control group. CONCLUSIONS: Empagliflozin use before on-pump CABG in patients with T2DM was associated with a reduced incidence of postoperative AKI without an increase in safety events. These findings warrant confirmation in larger clinical trials.</x:t>
  </x:si>
  <x:si>
    <x:t xml:space="preserve">Pitta FG; Lima EG; Tavares CAM; Martins EB; Rached FH; Moreira EM; Mioto BM; Lottenberg SA; Bolta PMP; Justino LG; Favarato D; Carvalho LNS; Pinesi HT; Barbosa CTM; Dallan LAO; Dallan LRP; Barbosa MHM; Kalil Filho R; de Lemos JA; Serrano CV</x:t>
  </x:si>
  <x:si>
    <x:t xml:space="preserve">Diabetes care</x:t>
  </x:si>
  <x:si>
    <x:t xml:space="preserve">10.2337/dc24-2807</x:t>
  </x:si>
  <x:si>
    <x:t xml:space="preserve">40233024</x:t>
  </x:si>
  <x:si>
    <x:t xml:space="preserve">Journal Article; Randomized Controlled Trial; Pragmatic Clinical Trial; JOUR; Journal article</x:t>
  </x:si>
  <x:si>
    <x:t xml:space="preserve">https://pubmed.ncbi.nlm.nih.gov/40233024/</x:t>
  </x:si>
  <x:si>
    <x:t xml:space="preserve">SCR_000012</x:t>
  </x:si>
  <x:si>
    <x:t xml:space="preserve">Empagliflozin reduces cardiovascular events, mortality and renal events in participants with type 2 diabetes after coronary artery bypass graft surgery: subanalysis of the EMPA-REG OUTCOME® randomised trial.</x:t>
  </x:si>
  <x:si>
    <x:t xml:space="preserve">AIMS/HYPOTHESIS: After coronary artery bypass graft (CABG) surgery in individuals with type 2 diabetes, there remains a considerable residual cardiovascular risk. In the EMPA-REG OUTCOME® trial in participants with type 2 diabetes and established cardiovascular disease, empagliflozin reduced the risk of cardiovascular death by 38%, all-cause mortality by 32%, hospitalisation for heart failure by 35% and incident or worsening nephropathy by 39% vs placebo when given in addition to standard of care. The aim of this post hoc analysis of the EMPA-REG OUTCOME® trial was to determine the effects of the sodium glucose cotransporter 2 inhibitor empagliflozin on cardiovascular events and mortality in participants with type 2 diabetes and a self-reported history of CABG surgery. METHODS: The EMPA-REG OUTCOME® trial was a randomised, double-blind, placebo-controlled trial. Participants with type 2 diabetes and established cardiovascular disease were randomised 1:1:1 to receive placebo, empagliflozin 10 mg or empagliflozin 25 mg, once daily, in addition to standard of care. In subgroups by self-reported history of CABG (yes/no) at baseline, we assessed: cardiovascular death; all-cause mortality; hospitalisation for heart failure; and incident or worsening nephropathy (progression to macroalbuminuria, doubling of serum creatinine, initiation of renal replacement therapy or death due to renal disease). Differences in risk between empagliflozin and placebo were assessed using a Cox proportional hazards model. RESULTS: At baseline, 25% (1175/4687) of participants who received empagliflozin and 24% (563/2333) of participants who received placebo had a history of CABG surgery. In participants with a history of CABG surgery, HRs (95% CI) with empagliflozin vs placebo were 0.52 (0.32, 0.84) for cardiovascular mortality, 0.57 (0.39, 0.83) for all-cause mortality, 0.50 (0.32, 0.77) for hospitalisation for heart failure and 0.65 (0.50, 0.84) for incident or worsening nephropathy. Results were consistent between participants with and without a history of CABG surgery (p &gt; 0.05 for treatment by subgroup interactions). CONCLUSIONS/INTERPRETATION: In participants with type 2 diabetes and a self-reported history of CABG surgery, treatment with empagliflozin was associated with profound reductions in cardiovascular and all-cause mortality, hospitalisation for heart failure, and incident or worsening nephropathy. These data have important implications for the secondary prevention of cardiovascular events after CABG in individuals with type 2 diabetes. TRIAL REGISTRATION: ClinicalTrials.gov NCT01131676.</x:t>
  </x:si>
  <x:si>
    <x:t xml:space="preserve">Verma S; Mazer CD; Fitchett D; Inzucchi SE; Pfarr E; George JT; Zinman B</x:t>
  </x:si>
  <x:si>
    <x:t xml:space="preserve">2018</x:t>
  </x:si>
  <x:si>
    <x:t xml:space="preserve">Diabetologia</x:t>
  </x:si>
  <x:si>
    <x:t xml:space="preserve">10.1007/s00125-018-4644-9</x:t>
  </x:si>
  <x:si>
    <x:t xml:space="preserve">29777264</x:t>
  </x:si>
  <x:si>
    <x:t xml:space="preserve">Journal Article; Randomized Controlled Trial; Research Support, Non-U.S. Gov't; JOUR; Journal article</x:t>
  </x:si>
  <x:si>
    <x:t xml:space="preserve">https://pubmed.ncbi.nlm.nih.gov/29777264/</x:t>
  </x:si>
  <x:si>
    <x:t xml:space="preserve">SCR_000013</x:t>
  </x:si>
  <x:si>
    <x:t xml:space="preserve">Empagliflozin Supplementation in Cardioplegic Solution Improves Donor Heart Preservation by Maintaining Mitochondrial Homeostasis.</x:t>
  </x:si>
  <x:si>
    <x:t xml:space="preserve">BACKGROUND: Prolonged cold ischemia and subsequent reperfusion are major causes of primary graft dysfunction in heart transplantation. Empagliflozin, a sodium-glucose cotransporter 2 (SGLT2) inhibitor, has shown cardioprotective effects in ischemia-reperfusion injury, but its role in donor heart preservation and the underlying mechanisms remain unexplored. METHODS: We evaluated the effects of empagliflozin supplementation in University of Wisconsin (UW) preservation solution using both in vitro and in vivo models. HL-1 cardiomyocytes were subjected to cold hypoxia/reoxygenation injury to simulate donor preservation conditions. A murine heterotopic heart transplantation model with 24-hour cold storage was used to assess graft function, myocardial injury, fibrosis, and immune response. Mechanistic studies were conducted using AMPK and Drp1 inhibitors to investigate mitochondrial signaling pathways. RESULTS: Empagliflozin (500 nM) significantly improved cardiomyocyte viability, reduced apoptosis, and preserved mitochondrial membrane potential under cold hypoxia/reoxygenation stress. In vivo, empagliflozin-supplemented UW solution improved early graft contractility, attenuated myocardial injury, reduced serum injury markers, and alleviated histological damage and immune cell infiltration. Long-term follow-up revealed mitigation of chronic rejection, with reduced fibrosis, vasculopathy, and immune activation. Mechanistically, empagliflozin activated AMPK, inhibited Drp1 phosphorylation at Ser616, promoted mitochondrial fusion (Mfn1, OPA1), and preserved mitochondrial morphology. These protective effects were abolished by AMPK inhibition and restored by Drp1 inhibition, confirming AMPK-Drp1 pathway involvement. CONCLUSIONS: Empagliflozin enhances donor heart preservation by mitigating cold ischemia-reperfusion injury through modulation of the AMPK-Drp1 signaling axis. This study extends the pharmacological profile of empagliflozin from metabolic regulation to donor heart preservation, highlighting its translational potential in clinical transplantation.</x:t>
  </x:si>
  <x:si>
    <x:t xml:space="preserve">Liu RL; Song QC; Yang K; Wang L; Jiao KL; Xie L; Yang YF</x:t>
  </x:si>
  <x:si>
    <x:t xml:space="preserve">Cardiovascular drugs and therapy</x:t>
  </x:si>
  <x:si>
    <x:t xml:space="preserve">10.1007/s10557-026-07834-1</x:t>
  </x:si>
  <x:si>
    <x:t xml:space="preserve">41525029</x:t>
  </x:si>
  <x:si>
    <x:t xml:space="preserve">Journal Article; Research Support, Non-U.S. Gov't; JOUR; Article</x:t>
  </x:si>
  <x:si>
    <x:t xml:space="preserve">https://pubmed.ncbi.nlm.nih.gov/41525029/</x:t>
  </x:si>
  <x:si>
    <x:t xml:space="preserve">SCR_000014</x:t>
  </x:si>
  <x:si>
    <x:t xml:space="preserve">Empagliflozin to prevent post-operative atrial fibrillation in patients undergoing coronary artery bypass graft surgery: Rationale and design of the EMPOAF trial.</x:t>
  </x:si>
  <x:si>
    <x:t xml:space="preserve">BACKGROUND: Postoperative atrial fibrillation (POAF) is one of the most common types of acute AF and can complicate the treatment course of approximately one third of patients undergoing cardiac surgery. Sodium-glucose cotransporter-2 (SGLT2) inhibitors are among the newest antidiabetic drugs which can be therapeutic options for preventing POAF by different mechanisms. METHODS: Empagliflozin to Prevent POAF (EMPOAF) is an interventional, investigator-initiated, double-blind, placebo-controlled, multicenter, randomized controlled trial which will be conducted in two referral teaching cardiology hospitals in Tehran. Four-hundred ninety-two adult patients who are scheduled for elective isolated coronary artery bypass graft (CABG) surgery will be randomly assigned to one of the groups of intervention (empagliflozin 10 mg daily) or placebo starting at least 3 days before surgery until discharge. Key exclusion criteria are a history of diabetes mellitus, AF, ketoacidosis, or recurrent urinary tract infections along with severe renal or hepatic impairment, unstable hemodynamics, and patients receiving SGLT2 inhibitors for another indication. The primary outcome will be the incidence of POAF. Key secondary endpoints will be the composite rate of life-threatening arrhythmias, postoperative acute kidney injury, hospitalization length, in-hospital mortality, stroke, and systemic embolization. Key safety endpoints will be the rate of life-threatening and/or genitourinary tract infections, hypoglycemia, and ketoacidosis. CONCLUSIONS: EMPOAF will prospectively evaluate whether empagliflozin 10 mg daily can reduce the rate of POAF in patients undergoing elective CABG. Enrolment into this study has started by November 2023 and is expected to be ended before the end of 2025.</x:t>
  </x:si>
  <x:si>
    <x:t xml:space="preserve">Aghakouchakzadeh M; Hosseini K; Haghjoo M; Mirzabeigi P; Tajdini M; Talasaz AH; Jalali A; Askarinejad A; Kohansal E; Hedayat B; Parvas E; Bozorgi A; Bagheri J; Givtaj N; Hadavand N; Hajighasemi A; Tafti SHA; Hosseini S; Sadeghipour P; Kakavand H</x:t>
  </x:si>
  <x:si>
    <x:t xml:space="preserve">2024</x:t>
  </x:si>
  <x:si>
    <x:t xml:space="preserve">Pacing and clinical electrophysiology : PACE</x:t>
  </x:si>
  <x:si>
    <x:t xml:space="preserve">10.1111/pace.15038</x:t>
  </x:si>
  <x:si>
    <x:t xml:space="preserve">38946138</x:t>
  </x:si>
  <x:si>
    <x:t xml:space="preserve">Clinical Trial Protocol; Journal Article; Research Support, Non-U.S. Gov't; JOUR; Journal article</x:t>
  </x:si>
  <x:si>
    <x:t xml:space="preserve">https://pubmed.ncbi.nlm.nih.gov/38946138/</x:t>
  </x:si>
  <x:si>
    <x:t xml:space="preserve">SCR_000015</x:t>
  </x:si>
  <x:si>
    <x:t xml:space="preserve">EValuating the Effect of periopeRaTIve empaGliflOzin on cardiac surgery associated acute kidney injury: rationale and design of the VERTIGO study.</x:t>
  </x:si>
  <x:si>
    <x:t xml:space="preserve">BACKGROUND: Cardiac surgery-associated acute kidney injury (CSA-AKI) is a serious complication in patients undergoing cardiac surgery with extracorporeal circulation (ECC) that increases postoperative complications and mortality. CSA-AKI develops due to a combination of patient- and surgery-related risk factors that enhance renal ischemia-reperfusion injury. Sodium-glucose cotransporter 2 inhibitors (SGLT2i) such as empagliflozin reduce renal glucose reabsorption, improving tubulo-glomerular feedback, reducing inflammation and decreasing intraglomerular pressure. Preclinical studies have observed that SGLT2i may provide significant protection against renal ischemia-reperfusion injury due to their effects on inadequate mitochondrial function, reactive oxygen species activity or renal peritubular capillary congestion, all hallmarks of CSA-AKI. The VERTIGO (EValuating the Effect of periopeRaTIve empaGliflOzin) trial is a Phase 3, investigator-initiated, randomized, double-blind, placebo-controlled, multicenter study that aims to explore whether empagliflozin can reduce the incidence of adverse renal outcomes in cardiac surgery patients. METHODS: The VERTIGO study (EudraCT: 2021-004938-11) will enroll 608 patients that require elective cardiac surgery with ECC. Patients will be randomly assigned in a 1:1 ratio to receive either empagliflozin 10 mg orally daily or placebo. Study treatment will start 5 days before surgery and will continue during the first 7 days postoperatively. All participants will receive standard care according to local practice guidelines. The primary endpoint of the study will be the proportion of patients that develop major adverse kidney events during the first 90 days after surgery, defined as ≥25% renal function decline, renal replacement therapy initiation or death. Secondary, tertiary and safety endpoints will include rates of AKI during index hospitalization, postoperative complications and observed adverse events. CONCLUSIONS: The VERTIGO trial will describe the efficacy and safety of empagliflozin in preventing CSA-AKI. Patient recruitment is expected to start in May 2024.</x:t>
  </x:si>
  <x:si>
    <x:t xml:space="preserve">Coca A; Bustamante-Munguira E; Fidalgo V; Fernández M; Abad C; Franco M; González-Pinto Á; Pereda D; Cánovas S; Bustamante-Munguira J</x:t>
  </x:si>
  <x:si>
    <x:t xml:space="preserve">Clinical kidney journal</x:t>
  </x:si>
  <x:si>
    <x:t xml:space="preserve">10.1093/ckj/sfae229</x:t>
  </x:si>
  <x:si>
    <x:t xml:space="preserve">39139185</x:t>
  </x:si>
  <x:si>
    <x:t xml:space="preserve">https://pubmed.ncbi.nlm.nih.gov/39139185/</x:t>
  </x:si>
  <x:si>
    <x:t xml:space="preserve">SCR_000016</x:t>
  </x:si>
  <x:si>
    <x:t xml:space="preserve">Evaluation of the effect of empagliflozin on prevention of atrial fibrillation after coronary artery bypass grafting: a double-blind, randomized, placebo-controlled trial.</x:t>
  </x:si>
  <x:si>
    <x:t xml:space="preserve">This study is aimed at evaluating the effect of empagliflozin in preventing atrial fibrillation after coronary artery bypass grafting (CABG). Eighty-two patients who fulfilled the inclusion criteria were allocated to the empagliflozin group (n = 43) or placebo group (n = 39). In two groups, patients received empagliflozin or placebo tablets 3 days before surgery and on the first three postoperative days (for 6 days) in addition to the standard regimen during hospitalization. During the first 3 days after surgery, types of arrhythmias after cardiac surgery, including supraventricular arrhythmias, especially postoperative atrial fibrillation (POAF), ventricular arrhythmias, and heart blocks, were assessed by electrocardiogram monitoring. C-reactive protein (CRP) levels were evaluated pre-operatively and postoperative on the third day. The incidence of POAF in the treatment group was lower compared to the control group; however, this reduction was statistically non-significant (p = 0.09). The frequency of ventricular tachycardia was reduced significantly in the treatment group versus patients in the control (p = 0.02). Also, a significant reduction in the frequency of premature ventricular contractions (PVCs) was seen in the treatment group in comparison with the control group (p = 0.001). After the intervention, CRP levels were significantly less in the empagliflozin group compared to the control group in the third postoperative day (p = 0.04). The prophylactic use of empagliflozin effectively reduced the incidence of ventricular arrhythmia in patients undergoing CABG surgery.</x:t>
  </x:si>
  <x:si>
    <x:t xml:space="preserve">Zarei B; Fazli B; Tayyebi M; Abbasi Teshnizi M; Moeinipour A; Javedanfar O; Javidi Dasht Bayaz R; Rahmati M; Ghavami V; Amini S; Mohammadpour AH</x:t>
  </x:si>
  <x:si>
    <x:t xml:space="preserve">Naunyn-Schmiedeberg's archives of pharmacology</x:t>
  </x:si>
  <x:si>
    <x:t xml:space="preserve">10.1007/s00210-024-03225-1</x:t>
  </x:si>
  <x:si>
    <x:t xml:space="preserve">38953969</x:t>
  </x:si>
  <x:si>
    <x:t xml:space="preserve">https://pubmed.ncbi.nlm.nih.gov/38953969/</x:t>
  </x:si>
  <x:si>
    <x:t xml:space="preserve">SCR_000017</x:t>
  </x:si>
  <x:si>
    <x:t xml:space="preserve">Evaluation of the efficacy of empagliflozin in patients with preserved left ventricular ejection fraction undergoing transcatheter aortic valve implantation for aortic stenosis: protocol for a randomised, open-label, controlled study.</x:t>
  </x:si>
  <x:si>
    <x:t xml:space="preserve">INTRODUCTION: Heart failure occasionally develops after transcatheter aortic valve implantation (TAVI) for severe aortic stenosis (AS), despite procedural success. Most cases present with mildly reduced or preserved left ventricular ejection fraction (LVEF), underscoring the role of diastolic dysfunction. Sodium-glucose cotransporter 2 (SGLT2) inhibitors have shown benefits across the heart failure spectrum, independent of LVEF. The purpose of this randomised controlled trial is to determine whether adding a SGLT2 inhibitor to conventional medications improves LV diastolic function in patients with preserved LVEF after TAVI. METHODS AND ANALYSIS: This study is a prospective, single-centre, open-label, randomised, parallel-group, two-arm trial enrolling patients with mildly reduced or preserved LVEF (≥40%) undergoing TAVI for severe AS. Participants will be randomised in a 1:1 ratio to receive either conventional medications plus empagliflozin or conventional medications alone. In the empagliflozin group, participants will receive conventional medical therapy plus empagliflozin 10 mg orally once daily, initiated 4 weeks after TAVI. Empagliflozin treatment will continue throughout the study period. Participants in the control group will receive conventional medications without empagliflozin. The primary endpoint is the change in E/e', assessed by echocardiography from treatment initiation at 4 weeks post TAVI (day 1) to day 168 (week 24). Each group will include 50 patients, totalling 100 patients. ETHICS AND DISSEMINATION: Ethical approval for this study has been obtained from the Chiba University Hospital Certified Clinical Research Review Board (CRB0111-25). TRIAL REGISTRATION NUMBER: jRCT1031250190.</x:t>
  </x:si>
  <x:si>
    <x:t xml:space="preserve">Okita S; Kitahara H; Shoji M; Sugawara T; Miyakoda K; Yaginuma H; Yamamoto H; Kanda T; Kinoshita M; Sasaki H; Suzuki-Eguchi N; Takaoka H; Matsuura K; Ozawa Y; Hanaoka H; Matsumiya G; Kobayashi Y</x:t>
  </x:si>
  <x:si>
    <x:t xml:space="preserve">BMJ open</x:t>
  </x:si>
  <x:si>
    <x:t xml:space="preserve">10.1136/bmjopen-2025-114537</x:t>
  </x:si>
  <x:si>
    <x:t xml:space="preserve">42082222</x:t>
  </x:si>
  <x:si>
    <x:t xml:space="preserve">https://pubmed.ncbi.nlm.nih.gov/42082222/</x:t>
  </x:si>
  <x:si>
    <x:t xml:space="preserve">SCR_000018</x:t>
  </x:si>
  <x:si>
    <x:t xml:space="preserve">Rationale and design of the Dapagliflozin after Transcatheter Aortic Valve Implantation (DapaTAVI) randomized trial.</x:t>
  </x:si>
  <x:si>
    <x:t xml:space="preserve">AIMS: Despite aortic stenosis (AS) relief, patients undergoing transcatheter aortic valve implantation (TAVI) are at increased risk of developing heart failure (HF) within first months of intervention. Sodium-glucose co-transporter 2 (SGLT-2) inhibitors have been shown to reduce the risk of HF hospitalization in individuals with diabetes mellitus, reduced left ventricular ejection fraction and chronic kidney disease. However, the effect of SGLT-2 inhibitors on outcomes after TAVI is unknown. The Dapagliflozin after Transcatheter Aortic Valve Implantation (DapaTAVI) trial is designed to assess the clinical benefit and safety of the SGLT-2 inhibitor dapagliflozin in patients undergoing TAVI. METHODS: DapaTAVI is an independent pragmatic, controlled, prospective, randomized, open-label blinded endpoint, multicentre trial conducted in Spain, evaluating the effect of dapagliflozin 10 mg/day on the risk of death and worsening HF in patients with severe AS undergoing TAVI. Candidate patients should have prior history of HF admission plus ≥1 of the following criteria: (i) diabetes mellitus, (ii) left ventricular ejection fraction ≤40%, or (iii) estimated glomerular filtration rate between 25 and 75 ml/min/1.73 m2 . A total of 1020 patients will be randomized (1:1) to dapagliflozin vs. no dapagliflozin. Key secondary outcomes include: (i) incidence rate of individual components of the primary outcome; (ii) cardiovascular mortality; (iii) the composite of HF hospitalization or cardiovascular death; and (iv) total number of HF rehospitalizations. CONCLUSION: DapaTAVI will determine the efficacy and safety of dapagliflozin in a broad spectrum of frail patients after AS relief by TAVI.</x:t>
  </x:si>
  <x:si>
    <x:t xml:space="preserve">Amat-Santos IJ; Sánchez-Luna JP; Abu-Assi E; Melendo-Viu M; Cruz-Gonzalez I; Nombela-Franco L; Muñoz-Garcí AJ; Blas SG; de la Torre Hernandez JM; Romaguera R; Sánchez-Recalde Á; Diez-Gil JL; Lopez-Otero D; Gheorge L; Ibáñez B; Iñiguez-Romo A; Raposeiras-Roubín S; Dapagliflozin after Transcatheter Aortic Valve Implantation (DapaTAVI) Investigators</x:t>
  </x:si>
  <x:si>
    <x:t xml:space="preserve">European journal of heart failure</x:t>
  </x:si>
  <x:si>
    <x:t xml:space="preserve">10.1002/ejhf.2370</x:t>
  </x:si>
  <x:si>
    <x:t xml:space="preserve">34693613</x:t>
  </x:si>
  <x:si>
    <x:t xml:space="preserve">Journal Article; Research Support, Non-U.S. Gov't; Clinical Trial Protocol; JOUR; Journal article</x:t>
  </x:si>
  <x:si>
    <x:t xml:space="preserve">https://pubmed.ncbi.nlm.nih.gov/34693613/</x:t>
  </x:si>
  <x:si>
    <x:t xml:space="preserve">SCR_000019</x:t>
  </x:si>
  <x:si>
    <x:t xml:space="preserve">Rationale and design of the effects of EMpagliflozin on left ventricular DIAstolic function in diabetes (EmDia) study.</x:t>
  </x:si>
  <x:si>
    <x:t xml:space="preserve">BACKGROUND: Data of the EMPA-REG OUTCOME study have demonstrated a beneficial effect of the sodium-glucose cotransporter 2 inhibitor empagliflozin on cardiovascular outcome in patients with type 2 diabetes. The reduction in cardiovascular mortality and hospitalization due to heart failure might be in part explained by the direct effects of empagliflozin on cardiac diastolic function. The EmDia trial investigates the short-term effects of empagliflozin compared to placebo on the left ventricular E/E' ratio as a surrogate of left ventricular diastolic function. METHODS: EmDia is a single-center, randomized, double-blind, two-arm, placebo-controlled, parallel group study of phase IV. Individuals with diabetes mellitus type 2 (T2DM) are randomized 1:1 to receive empagliflozin 10 mg per day or a placebo for 12 weeks. The main inclusion criteria are diagnosed as T2DM with stable glucose-lowering and/or dietary treatment, elevated HbA1c level (6.5-10.0% if receiving glucose-lowering therapy, or 6.5-9.0% if drug-naïve), and diastolic cardiac dysfunction with left ventricular E/E'≥8. The primary end point is the difference of the change in the E/E' ratio by treatment groups after 12 weeks. Secondary end points include assessment of the effect of empagliflozin on left ventricular systolic function, measures of vascular structure and function, as well as humoral cardiovascular biomarkers (i.e. brain natriuretic peptide, troponin, C-reactive protein). In addition, the multidimensional biodatabase enables explorative analyses of molecular biomarkers to gain insights into possible mechanisms of the effects of empagliflozin on human health in a systems medicine-oriented, multiomics approach. CONCLUSION: By evaluating the short-term effect of empagliflozin with a comprehensive biobanking program, the EmDia Study offers an opportunity to primarily assess the effects on diastolic function but also to examine effects on clinical and molecular cardiovascular traits. TRIAL REGISTRATION: ClinicalTrials.gov; NCT02932436. Registration date, 2016/10/13.</x:t>
  </x:si>
  <x:si>
    <x:t xml:space="preserve">Jünger C; Prochaska JH; Gori T; Schulz A; Binder H; Daiber A; Koeck T; Rapp S; Lackner KJ; Münzel T; Wild PS</x:t>
  </x:si>
  <x:si>
    <x:t xml:space="preserve">Journal of cardiovascular medicine (Hagerstown, Md.)</x:t>
  </x:si>
  <x:si>
    <x:t xml:space="preserve">10.2459/jcm.0000000000001267</x:t>
  </x:si>
  <x:si>
    <x:t xml:space="preserve">34939776</x:t>
  </x:si>
  <x:si>
    <x:t xml:space="preserve">https://pubmed.ncbi.nlm.nih.gov/34939776/</x:t>
  </x:si>
  <x:si>
    <x:t xml:space="preserve">SCR_000020</x:t>
  </x:si>
  <x:si>
    <x:t xml:space="preserve">Role of Empagliflozin in heart failure with severe aortic stenosis before valve replacement: EASTER-HF study.</x:t>
  </x:si>
  <x:si>
    <x:t xml:space="preserve">We evaluated empagliflozin in severe DAS patients with HF before AVR. HF patients with LVEF 30-80 % and NYHA functional class II-IV symptoms got empagliflozin 10 mg or not within 6 months before AVR, along with SOC. Adding empagliflozin to the SOC before AVR reduced HF death or HHF by 73 % after 6-months in a group of 20 patients (RR 0.27; p = 0.022). Improving LVEF (+3.48 %, p &lt; 0.001) and NT-proBNP levels (-3974.6 pg/mL) with empagliflozin in SOC before AVR significantly reduced in-hospital and 6-month mortality in this patient group. In severe DAS and HF patients, empagliflozin improved symptoms and prognosis.</x:t>
  </x:si>
  <x:si>
    <x:t xml:space="preserve">Jariwala P; Kulkarni GP; Punjani A; Boorugu H; Gude D</x:t>
  </x:si>
  <x:si>
    <x:t xml:space="preserve">Indian heart journal</x:t>
  </x:si>
  <x:si>
    <x:t xml:space="preserve">10.1016/j.ihj.2024.06.009</x:t>
  </x:si>
  <x:si>
    <x:t xml:space="preserve">38878965</x:t>
  </x:si>
  <x:si>
    <x:t xml:space="preserve">Journal Article; Observational Study; JOUR; Journal article</x:t>
  </x:si>
  <x:si>
    <x:t xml:space="preserve">https://pubmed.ncbi.nlm.nih.gov/38878965/</x:t>
  </x:si>
  <x:si>
    <x:t xml:space="preserve">SCR_000021</x:t>
  </x:si>
  <x:si>
    <x:t xml:space="preserve">Sodium glucose co-transporter 2 inhibition with empagliflozin on metabolic, cardiac and renal outcomes in recent cardiac transplant recipients (EMPA-HTx): protocol for a randomised controlled trial.</x:t>
  </x:si>
  <x:si>
    <x:t xml:space="preserve">INTRODUCTION: Cardiac transplantation (CTx) is a life-saving operation that can improve the quality and length of a recipient's life. Immunosuppression medication, required to prevent rejection, can result in adverse metabolic and renal effects. Clinically significant complications include metabolic effects such as diabetes and weight gain, renal impairment, and cardiac disease such as allograft vasculopathy and myocardial fibrosis. Sodium glucose co-transporter 2 (SGLT2) inhibitors are a class of oral medication that increase urinary excretion of glucose. In patients with type 2 diabetes, SGLT2 inhibitors improve cardiovascular, metabolic and renal outcomes. Similar benefits have been shown in patients with heart failure and reduced ejection fraction irrespective of diabetes status. In patients with post-transplant diabetes mellitus, SGLT2 inhibitors improve metabolic parameters; however, their benefit and safety have not been evaluated in randomised prospective studies. This study will potentially provide a novel therapy to improve or prevent complications (diabetes, kidney failure and heart fibrosis) that occur with immunosuppressive medications. METHODS: The EMPA-HTx study is a randomised, placebo-controlled trial of the SGLT2 inhibitor empagliflozin 10 mg daily versus placebo in recent CTx recipients. One hundred participants will be randomised 1:1 and commence the study medication within 6-8 weeks of transplantation with treatment and follow-up until 12 months after transplantation. Demographic information, anthropomorphic measurements, pathology tests and cardiac magnetic resonance (CMR) scan will be recorded at baseline and follow-up. Patients will be reviewed monthly during the study until 12 months post-CTx and data will be collected for each patient at each study visit. The overall aim of the study is to assess the safety and efficacy of empagliflozin in CTx recipients. The primary outcome is glycaemic improvement measured as change in glycated haemoglobin and/or fructosamine. Key secondary outcomes are cardiac interstitial fibrosis measured by CMR and renal function measured by estimated glomerular filtration rate. ETHICS AND DISSEMINATION: This study has been approved by St Vincent's Hospital Human Research Ethics Committee (2021/ETH12184). The findings will be presented at national and international scientific meetings and published in peer-reviewed journals. TRIAL REGISTRATION NUMBER: ACTRN12622000978763.</x:t>
  </x:si>
  <x:si>
    <x:t xml:space="preserve">Raven LM; Muir CA; Kessler Iglesias C; Bart NK; Muthiah K; Kotlyar E; Macdonald P; Hayward CS; Jabbour A; Greenfield JR</x:t>
  </x:si>
  <x:si>
    <x:t xml:space="preserve">10.1136/bmjopen-2022-069641</x:t>
  </x:si>
  <x:si>
    <x:t xml:space="preserve">36990488</x:t>
  </x:si>
  <x:si>
    <x:t xml:space="preserve">https://pubmed.ncbi.nlm.nih.gov/36990488/</x:t>
  </x:si>
  <x:si>
    <x:t xml:space="preserve">SCR_000022</x:t>
  </x:si>
  <x:si>
    <x:t xml:space="preserve">Study protocol of the multicentre, randomised, triple-blind, placebo-controlled MERCURI-2 trial: promoting effective renoprotection in cardiac surgery patients by inhibition of sodium glucose cotransporter (SGLT)-2.</x:t>
  </x:si>
  <x:si>
    <x:t xml:space="preserve">INTRODUCTION: Acute kidney injury (AKI) is a major complication after cardiac surgery and is associated with postoperative morbidity and mortality. Currently, no effective therapy exists to reduce the incidence of postoperative AKI. Sodium-glucose cotransporter-2 (SGLT2) inhibitors are effective in reducing AKI in outpatient settings for patients with chronic kidney disease. We hypothesised that perioperative SGLT2 inhibition will also reduce AKI incidence after cardiac surgery according to Kidney Disease: Improving Global Outcomes (KDIGO) criteria. METHODS AND ANALYSIS: We designed a multicentre, randomised, placebo-controlled, triple-blinded, superiority trial. A total of 784 patients, aged above 18 years, undergoing cardiac surgery will be included with stratification for sex and type 2 diabetes in a 1:1 ratio. Patients will receive either dapagliflozin 10 mg or placebo from the day before until 2 days after surgery. Serum creatinine will be measured preoperatively and daily for the first 7 days after the operation, and urine output will be measured until the urinary catheter is removed. The primary outcome is the incidence of postoperative AKI according to the KDIGO criteria. ETHICS AND DISSEMINATION: The medical ethics committee of the Amsterdam University Medical Centre (UMC) and the Dutch competent authority approved the study protocol (currently, version 9, 19 January 2024). This is an investigator-initiated study. The Amsterdam UMC, as sponsor, retains ownership of all data and publication rights. After completion of the trial, results will be disseminated to participants, patient societies and physicians via a network meeting and digital newsletter. Results will be submitted for publication in a peer-reviewed international medical journal and presented on (inter)national congresses. TRIAL REGISTRATION NUMBER: Clinicaltrials.gov identifier: NCT05590143.</x:t>
  </x:si>
  <x:si>
    <x:t xml:space="preserve">Oosterom-Eijmael M; Monteiro de Oliveira NP; Niesten ED; Tolsma M; Snellen FT; Gerritse BM; Scohy TV; Rettig T; Godfried MB; Voogd MF; Wink J; van der Werff LM; Eberl S; Preckel B; Hermanides J; van Raalte DH; Hulst AH; MERCURI-2 study group</x:t>
  </x:si>
  <x:si>
    <x:t xml:space="preserve">10.1136/bmjopen-2024-095504</x:t>
  </x:si>
  <x:si>
    <x:t xml:space="preserve">40379310</x:t>
  </x:si>
  <x:si>
    <x:t xml:space="preserve">https://pubmed.ncbi.nlm.nih.gov/40379310/</x:t>
  </x:si>
  <x:si>
    <x:t xml:space="preserve">SCR_000023</x:t>
  </x:si>
  <x:si>
    <x:t xml:space="preserve">The effects of sodium-glucose transporter 2 inhibition on cardiac surgery-associated acute kidney injury: An open-label randomized pilot study.</x:t>
  </x:si>
  <x:si>
    <x:t xml:space="preserve">BACKGROUND: Sodium-glucose transporter-2 (SGLT2) inhibitors reduced the incidence of acute kidney injury in large cardiovascular outcome trials in patients with chronic heart and kidney failure. Acute kidney injury is a common complication following cardiac surgery. We hypothesized that perioperative SGLT2 inhibition could reduce kidney injury after cardiac surgery, measured with the biomarker neutrophil gelatinase-associated (NGAL). METHODS: In this open-label phase IV, randomized, parallel-group, pilot study, adult patients undergoing elective cardiac surgery with cardiopulmonary bypass were randomized to receive either an SGLT2 inhibitor, empagliflozin (10 mg; oral) once daily, from three days before surgery until postoperative day two, or standard-of-care. The primary outcome was the between-group difference of serum NGAL on the second postoperative day. Moreover, other biomarkers for acute kidney injury were measured, including serum kidney injury molecule-1 (KIM-1), hypoxia-inducible factor-1 alpha (HIF-1α), and urine NGAL/Creatinine and KIM-1/Creatinine ratios. Additional outcomes included acute kidney injury incidence within the first seven days following cardiac surgery according to Kidney Disease: Improving Global Outcomes criteria and metabolic parameters, including ketone body concentrations and glycemic control. RESULTS: Between March 2022 and April 2023, 55 patients were included (sex: 73 % male, age: 66 ± 10 years, BMI: 28 ± 4 kg/m2, empagliflozin n = 25, control n = 30) in the intention-to-treat analysis. There were no significant between-group differences in serum and urine NGAL or KIM-1. However, empagliflozin significantly reduced the incidence of acute kidney injury (20 % vs 66.7 %; absolute difference 46.7 %, 95 % CI, -69.7 - -23.6; P &lt; .001). A significant increase in serum HIF-1α after surgery was solely observed in the control group. We observed no between-group differences in the incidence of (euglycemic) ketoacidosis or hypoglycemic events. CONCLUSIONS: In this pilot study, perioperative SGLT2 inhibition was not associated with lower NGAL levels. We observed that SGLT2 inhibition reduced the incidence of acute kidney injury in this small study population. As the results of this pilot study are hypotheses-generating, further validation is needed in a large-scale, double-blind, placebo-controlled, randomized trial, which is currently ongoing.</x:t>
  </x:si>
  <x:si>
    <x:t xml:space="preserve">Snel LIP; Oosterom-Eijmael MJP; Rampanelli E; Lankadeva YR; Plummer MP; Preckel B; Hermanides J; van Raalte DH; Hulst AH</x:t>
  </x:si>
  <x:si>
    <x:t xml:space="preserve">Journal of clinical anesthesia</x:t>
  </x:si>
  <x:si>
    <x:t xml:space="preserve">10.1016/j.jclinane.2025.111811</x:t>
  </x:si>
  <x:si>
    <x:t xml:space="preserve">40153894</x:t>
  </x:si>
  <x:si>
    <x:t xml:space="preserve">Journal Article; Randomized Controlled Trial; Clinical Trial, Phase IV; JOUR; Journal article</x:t>
  </x:si>
  <x:si>
    <x:t xml:space="preserve">https://pubmed.ncbi.nlm.nih.gov/40153894/</x:t>
  </x:si>
  <x:si>
    <x:t xml:space="preserve">SCR_000024</x:t>
  </x:si>
  <x:si>
    <x:t xml:space="preserve">CENTRAL</x:t>
  </x:si>
  <x:si>
    <x:t xml:space="preserve">Empagliflozin limits AKI incidence and severity following cardiac surgery: an open-label phase IV randomised pilot study</x:t>
  </x:si>
  <x:si>
    <x:t xml:space="preserve">Background and aims: Cardiac surgery‐associated acute kidney injury (CSA‐AKI) is a common postoperative complication. Currently, no effective preventative strategies exist to mitigate CSA‐AKI. Sodiumglucose transporter‐2 (SGLT2) inhibitors reduced acute kidney injury (AKI) incidence in large, randomized placebo‐controlled, cardiovascular and kidney outcome trials conducted in patients with chronic kidney disease. We hypothesized that perioperative SGLT2 inhibition could also reduce CSA‐AKI. Materials and methods: In this open‐label phase IV, randomized, parallel‐group, pilot study, adult patients undergoing elective cardiac surgery with cardiopulmonary bypass were randomized to receive the SGLT2 inhibitor, empagliflozin (10 mg; oral), once daily three days prior to surgery and continued to two days after surgery compared with standard‐of‐care. Biomarkers for acute kidney injury (AKI), including serum and urinary neutrophil gelatinase‐associated lipocalin (NGAL), serum and urinary kidney injury molecule‐1 (KIM‐1), and serum hypoxia‐inducible factor‐1α (HIF‐1α) were measured. Additional outcomes included AKI incidence according to Kidney Disease: Improving Global Outcomes (KDIGO) criteria as well as metabolic parameters, including ketone body concentrations and glycemic control. Results: Between March 2022 and April 2023, 55 patients were included (sex: 73% male, age: 66 ± 10 years, BMI: 28 ± 4 kg/m2, empagliflozin n = 25, control n = 30) in the intention‐to‐treat analysis. Empagliflozin significantly reduced the incidence of AKI (20% vs 66.7%; absolute difference 46.7%, 95% CI, ‐69.7 ‐ ‐23.6; P=.001). Following surgery, urinary NGAL, and KIM‐1 were found to increase in both arms, whereas a significant increment in serum HIF‐1α after surgery was solely observed in the control group. We observed no between‐group differences in the incidence of (euglycemic) ketoacidosis or hypoglycemic events. Conclusion: Perioperative SGLT2 inhibition, compared with standard of care, significantly reduced the incidence of CSA‐AKI. These findings warrant validation in large‐scale, double‐blind, placebo‐controlled, randomized trials.</x:t>
  </x:si>
  <x:si>
    <x:t xml:space="preserve">Snel, LIP; Oosterom, MJP; Rampanelli, E; Lankedava, Y; Plummer, MP; Preckel, B; Hermanides, J; van Raalte, D; Hulst, A</x:t>
  </x:si>
  <x:si>
    <x:t xml:space="preserve">10.1007/s00125-024-06226-0</x:t>
  </x:si>
  <x:si>
    <x:t xml:space="preserve">JOUR; Journal article; Conference proceeding</x:t>
  </x:si>
  <x:si>
    <x:t xml:space="preserve">https://www.cochranelibrary.com/central/doi/10.1002/central/CN-02969553/full</x:t>
  </x:si>
  <x:si>
    <x:t xml:space="preserve">SCR_000025</x:t>
  </x:si>
  <x:si>
    <x:t xml:space="preserve">Empagliflozin limits AKI incidence and severity following cardiac surgery: an open-label phase IV randomized pilot study</x:t>
  </x:si>
  <x:si>
    <x:t xml:space="preserve">Background and Aims: Cardiac surgery‐associated acute kidney injury (CSA‐AKI) is a frequent complication of cardiac surgery assisted by cardiopulmonary bypass (CPB). Currently, no effective preventative strategies exist to reduce the incidence of acute kidney injury (AKI). Sodium‐glucose transport protein 2 (SGLT2) inhibitors are effective in reducing the incidence of AKI in studies conducted in patients with chronic kidney disease. Therefore, we hypothesized that perioperative SGLT2 inhibition could reduce the incidence of CSA‐AKI. Method: In this open‐label phase IV, randomized, parallel‐group, balanced (1:1), pilot study, adult patients undergoing elective cardiac surgery with CPB were randomized to receive 10 mg empagliflozin per os once daily three days before surgery until two days after surgery, or standard care. The primary outcome was AKI incidence according to the Kidney Disease: Improving Global Outcomes (KDIGO) criteria. Other outcomes included hypoxia‐inducible factor 1 alpha (HIF1A) and urinary Kidney Injury Molecule (KIM‐1), urinary neutrophil gelatinase associated lipocalin (NGAL) and metabolic parameters such as plasma ketone and glucose concentrations. Results: Between March 2022 and April 2023, 60 patients were randomized to empagliflozin (n = 29) or control (n = 31). All patients who underwent cardiac surgery with CPB were included in the intention‐to‐treat analysis (n = 25; empagliflozin group, n = 30; control group). SGLT2 inhibition significantly reduced the incidence of all stages of AKI (20% vs 66.7%; absolute difference 46%, 95% CI .13 to .63, P &lt; .001). This decline in AKI incidence was reflected in the kidney biomarkers. SGLT2 inhibition also significantly reduced the number of patients with postoperative hyperglycemia (28% vs 60%; absolute difference 32%, 95% CI ‐56.8 to ‐7.2, P = .029). We observed no differences in the incidence of neither ketoacidosis nor hypoglycemic events. Conclusion: Perioperative SGLT2 inhibition, compared with standard of care, demonstrated a significant reduction in AKI incidence rates. These findings merit validation in a larger placebo‐controlled trial which is currently ongoing. (Figure Presented).</x:t>
  </x:si>
  <x:si>
    <x:t xml:space="preserve">Snel, L; Oosterom-Eijmael, M; Rampanelli, E; Lankadeva, Y; Plummer, M; Preckel, B; Hermanides, J; Van Raalte, D; Hulst, B</x:t>
  </x:si>
  <x:si>
    <x:t xml:space="preserve">Nephrology dialysis transplantation</x:t>
  </x:si>
  <x:si>
    <x:t xml:space="preserve">10.1093/ndt/gfae069.116</x:t>
  </x:si>
  <x:si>
    <x:t xml:space="preserve">https://www.cochranelibrary.com/central/doi/10.1002/central/CN-02788825/full</x:t>
  </x:si>
  <x:si>
    <x:t xml:space="preserve">SCR_000026</x:t>
  </x:si>
  <x:si>
    <x:t xml:space="preserve">SGLT2 inhibition reduces cardiac surgery-associated acute kidney injury: an open-label randomized study</x:t>
  </x:si>
  <x:si>
    <x:t xml:space="preserve">Background Cardiac surgery‐associated acute kidney injury (CSA‐AKI) is a common postoperative complication. Currently, no effective preventative strategies exist to mitigate CSA‐AKI. Sodium‐glucose transporter‐2 (SGLT2) inhibitors reduced acute kidney injury (AKI) incidence in large, randomized placebo‐controlled, cardiovascular and kidney outcome trials conducted in patients with chronic kidney disease. We hypothesized that perioperative SGLT2 inhibition could also reduce CSA‐AKI. Methods In this open‐label phase IV, randomized, parallel‐group, pilot study, adult patients undergoing elective cardiac surgery with cardiopulmonary bypass were randomized to receive the SGLT2 inhibitor, empagliflozin (10 mg; oral), once daily three days prior to surgery and continued to two days after surgery compared with standard‐of‐care. Biomarkers for acute kidney injury (AKI), including serum and urinary neutrophil gelatinase‐associated lipocalin (NGAL), serum and urinary kidney injury molecule‐1 (KIM‐1), and serum hypoxia‐inducible factor‐1α (HIF‐1α) were measured. Additional outcomes included AKI incidence according to Kidney Disease: Improving Global Outcomes (KDIGO) criteria as well as metabolic parameters, including ketone body concentrations and glycemic control. Results Between March 2022 and April 2023, 55 patients were included (sex: 73% male, age: 66 ± 10 years, BMI: 28 ± 4 kg/m2, empagliflozin n = 25, control n = 30) in the intention‐to‐treat analysis. Empagliflozin significantly reduced the incidence of AKI (20% vs 66.7%; absolute difference 46.7%, 95% CI, ‐69.7 – ‐23.6; P=.001). Following surgery, urinary NGAL, and KIM‐1 were found to increase in both arms, whereas a significant increment in serum HIF‐1α after surgery was solely observed in the control group. We observed no between‐group differences in the incidence of (euglycemic) ketoacidosis or hypoglycemic events. Conclusions Perioperative SGLT2 inhibition, compared with standard of care, significantly reduced the incidence of CSA‐AKI. These findings warrant validation in large‐scale, double‐blind, placebo‐controlled, randomized trials.</x:t>
  </x:si>
  <x:si>
    <x:t xml:space="preserve">Snel, LIP; Oosterom-Eijmael, MJP; Rampanelli, E; Lankadeva, YR; Plummer, MP; Preckel, B; Hermanides, J; van Raalte, DH; Hulst, AH</x:t>
  </x:si>
  <x:si>
    <x:t xml:space="preserve">medRxiv: the preprint server for health sciences</x:t>
  </x:si>
  <x:si>
    <x:t xml:space="preserve">10.1101/2024.03.27.24304998</x:t>
  </x:si>
  <x:si>
    <x:t xml:space="preserve">JOUR; Preprint</x:t>
  </x:si>
  <x:si>
    <x:t xml:space="preserve">https://www.cochranelibrary.com/central/doi/10.1002/central/CN-02696175/full</x:t>
  </x:si>
  <x:si>
    <x:t xml:space="preserve">SCR_000027</x:t>
  </x:si>
  <x:si>
    <x:t xml:space="preserve">The perioperative renal and metabolic outcomes after sodium-glucose cotransporter-2 inhibitor in cardiac surgery - an open-label phase IV randomized controlled trial</x:t>
  </x:si>
  <x:si>
    <x:t xml:space="preserve">INTERVENTION: The intervention group receives once daily 10 mg empagliflozin starting 7 days before surgery to be continued until two days postoperatively. The control group will follow usual perioperative care. CONDITION: ; acute kidney injury ; acute renal failure ; cardiac surgery‐associated kidney injury 10038430 PRIMARY OUTCOME: Neutrophil gelatinase‐associated lipocalin (NGAL) concentration in plasma,; measured on the morning of postoperative day 2, between 8:00 and 12:00.; SECONDARY OUTCOME: • Neutrophil gelatinase‐associated lipocalin (NGAL) concentration in plasma. ; • Kidney Injury Molecule‐1 (KIM‐1) in plasma. ; • Estimated Glomerular Filtration Rate (eGFR) based on plasma creatinine ; measurements. ; • Ketones in blood. ; • Incidence of keto‐acidosis defined as combination of blood ketone ; concentration &gt;3mmol/l in combination with high‐anion gap acidosis ; ([Na+]‐[Cl‐]‐[HCO3‐]&gt;12). ; • Perioperative peak and average blood glucose levels, as measured during usual ; care. ; • Incidence of hypoglycemia defined as blood glucose measurement &lt; 4 mmol/l at ; any time point between start of surgery and end of study. ; ; Moments of measurement: ; For NGAL, KIM‐1, plasma ketones and incidence of keto‐acidosis: ; ‐ On day of surgery: ; • Before start of surgery (after placement of arterial line) ; • At time of start of cardiopulmonary bypass (+/‐ 20 min) ; • At the end of cardiopulmonary bypass (+/‐ 20 min) ; • At time of transport to ICU (+/‐ 20 min) ; ‐ Postoperatively ; • Measured daily, in the morning between 8:00 and 12:00 until postoperative day ; 2. ; For eGFR (creatinine) ; • Measured daily, in the morning between 8:00 and 12:00 until postoperative day ; 4. ; For peak and average glucose and incidence of hypoglycaemia: ; • any measurement occurring between start of surgery and end of study until ; postoperative day 4, as part of routine care. ; INCLUSION CRITERIA: • 18 to 90 years old (inclusive) • Undergoing elective cardiac surgery with cardio‐pulmonary bypass. • Providing informed consent</x:t>
  </x:si>
  <x:si>
    <x:t xml:space="preserve">NL-OMON52118,</x:t>
  </x:si>
  <x:si>
    <x:t xml:space="preserve">2021</x:t>
  </x:si>
  <x:si>
    <x:t xml:space="preserve">https://trialsearch.who.int/Trial2.aspx?TrialID=NL-OMON52118</x:t>
  </x:si>
  <x:si>
    <x:t xml:space="preserve">10.1002/central/cn-02282918/full</x:t>
  </x:si>
  <x:si>
    <x:t xml:space="preserve">JOUR; Trial registry record</x:t>
  </x:si>
  <x:si>
    <x:t xml:space="preserve">https://www.cochranelibrary.com/central/doi/10.1002/central/CN-02282918/full</x:t>
  </x:si>
  <x:si>
    <x:t xml:space="preserve">SCR_000028</x:t>
  </x:si>
  <x:si>
    <x:t xml:space="preserve">POST-CABGDM: empagliflozin in Perioperative CABG</x:t>
  </x:si>
  <x:si>
    <x:t xml:space="preserve">Random Prospective Study non‐blinded with 144 diabetics patients designated to myocardial revascularization with cardiopulmonary bypass . 72 patients will be randomly set to usual treatment provided by health care service and 72 patients will be randomly assigned treatment based on ISGLT2 (Empaglifozin). Patients will receive treatment as set for 3 months until 3 days prior to surgery. Creatinine levels will be measured immediately after surgery and in the following 3 days in post‐op. To evaluate the possibility to reduce the acute kidney injury in a randomized group treated with therapy based on ISGLT2.</x:t>
  </x:si>
  <x:si>
    <x:t xml:space="preserve">NCT04523064,</x:t>
  </x:si>
  <x:si>
    <x:t xml:space="preserve">2020</x:t>
  </x:si>
  <x:si>
    <x:t xml:space="preserve">https://clinicaltrials.gov/ct2/show/NCT04523064</x:t>
  </x:si>
  <x:si>
    <x:t xml:space="preserve">10.1002/central/cn-02148030/full</x:t>
  </x:si>
  <x:si>
    <x:t xml:space="preserve">https://www.cochranelibrary.com/central/doi/10.1002/central/CN-02148030/full</x:t>
  </x:si>
  <x:si>
    <x:t xml:space="preserve">SCR_000029</x:t>
  </x:si>
  <x:si>
    <x:t xml:space="preserve">Study of the effects of sodium-glucose cotransporter 2 inhibitors on kidney function and metabolism in patients that undergo cardiac surgery</x:t>
  </x:si>
  <x:si>
    <x:t xml:space="preserve">INTERVENTION: Trade Name: Jardiance Pharmaceutical Form: Film‐coated tablet CONDITION: Cardiac surgery‐associated acute kidney injury ; MedDRA version: 20.1 Level: LLT Classification code 10080266 Term: Stage 1 acute kidney injury System Organ Class: 100000004857 Therapeutic area: Diseases [C] ‐ Symptoms and general pathology [C23] PRIMARY OUTCOME: Main Objective: To investigate the potential of preoperative initiation (7 days) and perioperative continuation (until day 2 after surgery) of empagliflozin 10 mg daily to reduce the acute kidney injury marker neutrophil gelatinase‐associated lipocalin (NGAL) on day 2 postoperatively in patients undergoing cardiopulmonary bypass surgery. Primary end point(s): • Neutrophil gelatinase‐associated lipocalin (NGAL) concentration in plasma on postoperative day 2. Secondary Objective: • To investigate the potential of empagliflozin to reduce perioperative markers of kidney injury (NGAL, KIM‐1) in patients undergoing cardiopulmonary bypass surgery.; • To investigate the potential of empagliflozin to preserve kidney function (eGFR) in patients undergoing cardiopulmonary bypass surgery.; • To assess the effect of empagliflozin on perioperative glycaemia and incidence of hypoglycemia in patients undergoing cardiopulmonary bypass surgery.; • To assess the effect of empagliflozin on perioperative ketonemia and the occurrence of ketoacidosis in patients undergoing cardiopulmonary bypass surgery. Timepoint(s) of evaluation of this end point: • Measured on morning of postoperative day 2, between 8:00 and 12:00. SECONDARY OUTCOME: Secondary end point(s): • Neutrophil gelatinase‐associated lipocalin (NGAL) concentration in plasma.; • Kidney Injury Molecule‐1 (KIM‐1) in plasma.; • Estimated Glomerular Filtration Rate (eGFR) based on plasma creatinine measurements.; • Blood ketone levels.; • Incidence of keto‐acidosis defined as combination of blood ketone concentration &gt;3mmol/l in combination with high‐anion gap acidosis ([Na+]‐[Cl‐]‐[HCO3‐]&gt;12).; • Perioperative peak and average blood glucose levels, as measured during usual care.; • Incidence of hypoglycemia defined as blood glucose measurement &lt; 4 mmol/l at any time point between start of surgery and end of study. Timepoint(s) of evaluation of this end point: For NGAL, KIM‐1, plasma ketones and incidence of keto‐acidosis:; ; ‐ On day of surgery:; • Before start of surgery (after placement of arterial line); • At time of start of cardiopulmonary bypass (+/‐ 20 min); • At the end of cardiopulmonary bypass (+/‐ 20 min); • At time of transport to ICU (+/‐ 20 min); ‐ Postoperatively; • Measured daily, in the morning between 8:00 and 12:00 until postoperative day 2.; ; For eGFR (creatinine); • Measured daily, in the morning between 8:00 and 12:00 until postoperative day 4.; ; For peak and average glucose and incidence of hypoglycaemia:; • any measurement occurring between start of surgery and end of study until postoperative day 4, as part of routine care. INCLUSION CRITERIA: • 18 to 90 years old (inclusive) • Undergoing elective cardiac surgery with cardio‐pulmonary bypass. • Providing informed consent Are the trial subjects under 18? no Number of subjects for this age range: F.1.2 Adults (18‐64 years) yes F.1.2.1 Number of subjects for this age range 20 F.1.3 Elderly (&gt;=65 years) yes F.1.3.1 Number of subjects for this age range 60</x:t>
  </x:si>
  <x:si>
    <x:t xml:space="preserve">EUCTR2021-003172-13-NL,</x:t>
  </x:si>
  <x:si>
    <x:t xml:space="preserve">https://trialsearch.who.int/Trial2.aspx?TrialID=EUCTR2021-003172-13-NL</x:t>
  </x:si>
  <x:si>
    <x:t xml:space="preserve">10.1002/central/cn-02350769/full</x:t>
  </x:si>
  <x:si>
    <x:t xml:space="preserve">https://www.cochranelibrary.com/central/doi/10.1002/central/CN-02350769/full</x:t>
  </x:si>
  <x:si>
    <x:t xml:space="preserve">SCR_000030</x:t>
  </x:si>
  <x:si>
    <x:t xml:space="preserve">Early surgery or sodium glucose cotransporter-2 inhibitor add-on treatment in patients with severe tricuspid regurgitation</x:t>
  </x:si>
  <x:si>
    <x:t xml:space="preserve">INTERVENTION: Drug : Intervention group: Treatment of existing drugs + SGLT2 inhibitors (Dapagliflozin 10mg or Empagliflozin 10mg) Take PO once a day for one year Control group: Traditional drug treatment CONDITION: Diseases of the circulatory system PRIMARY OUTCOME: Difference of RVESVi by CMR from baseline to 12 months follow‐up by two groups SECONDARY OUTCOME: Difference of NT‐proBNP from baseline to 12 months follow‐upby two groups Difference of RV ejection fraction by CMR from baseline to 12 months follow‐up (?RVEF) by two groups Difference of RVEDVi by CMR from baseline to 12 months follow‐up (?RVEDVi) by two groups Difference of TR volume by CMR from baseline to 12 months follow‐up by two groups Difference of TV annulus diameter by echocardiography from baseline to 12 months follow‐up by two groups Difference of Vena contracta width of TR by echocardiography from baseline to 12 months follow‐up (?VCW) by two groups Occurrence of cardiovascular death or hospitalization for right heart failure during 12 months by two groups Occurrence of renal dysfunction (creatinine &gt; 2mg/dL) two groups Occurrence of tricuspid valve surgery during 12 months by two groups INCLUSION CRITERIA: 1) A person who understands the research protocol and has completed a written consent form 2) adult men and women over the age of 20 3) a patient with severe tricuspid valve regurgitation (1) Even in conventional drug treatment, if Vena contacta &gt; 0.7 cm or effective reflu Xarea =40 mm2 for more than 1 month (2) a patient with a left ventricular ejection fraction of 40% or more* (3) Persons with dyspnea of function classification II or higher by the New York Heart Association (NYHA)</x:t>
  </x:si>
  <x:si>
    <x:t xml:space="preserve">KCT0011863,</x:t>
  </x:si>
  <x:si>
    <x:t xml:space="preserve">https://trialsearch.who.int/Trial2.aspx?TrialID=KCT0011863</x:t>
  </x:si>
  <x:si>
    <x:t xml:space="preserve">10.1002/central/cn-03008132/full</x:t>
  </x:si>
  <x:si>
    <x:t xml:space="preserve">https://www.cochranelibrary.com/central/doi/10.1002/central/CN-03008132/full</x:t>
  </x:si>
  <x:si>
    <x:t xml:space="preserve">SCR_000031</x:t>
  </x:si>
  <x:si>
    <x:t xml:space="preserve">Metabolic and Renal Outcomes in Cardiac Surgery Patients Receiving SGLT2 Inhibitors</x:t>
  </x:si>
  <x:si>
    <x:t xml:space="preserve">Adult patients scheduled for elective cardiopulmonary bypass assisted cardiothoracicsurgery will be informed about the study and after receiving informed consent will bedivided between two groups in an openlabel fashion:Intevention group: Takes study medication(10mg Empagliflozin once a day in the morning) 3days prior to surgery, day of surgery and 2 days post‐surgery.Control group: follows the usual standard of care. At time moment before surgery andbefore medication is taken blood and urine sample is taken. This is repeated on day ofsurgery, and the consecutive 2 days after surgery.Form these samples biomakers for kidney injury will be measured and compared betweengroups.</x:t>
  </x:si>
  <x:si>
    <x:t xml:space="preserve">NCT06825156,</x:t>
  </x:si>
  <x:si>
    <x:t xml:space="preserve">https://clinicaltrials.gov/ct2/show/NCT06825156</x:t>
  </x:si>
  <x:si>
    <x:t xml:space="preserve">10.1002/central/cn-02811419/full</x:t>
  </x:si>
  <x:si>
    <x:t xml:space="preserve">https://www.cochranelibrary.com/central/doi/10.1002/central/CN-02811419/full</x:t>
  </x:si>
  <x:si>
    <x:t xml:space="preserve">SCR_000032</x:t>
  </x:si>
  <x:si>
    <x:t xml:space="preserve">Metabolic and renal outcomes in cardiac surgery patients receiving SGLT2 inhibitors</x:t>
  </x:si>
  <x:si>
    <x:t xml:space="preserve">INTERVENTION: Preoperative initiation (7 days before surgery) and perioperative continuation (until day 2 after surgery) of empagliflozin 10 mg daily (10 days total). CONDITION: Cardiac surgery associated acute kidney injury PRIMARY OUTCOME: Neutrophil gelatinase‐associated lipocalin (NGAL) concentration in plasma. Measured on morning of postoperative day 2, between 8:00 and 12:00. SECONDARY OUTCOME: • Neutrophil gelatinase‐associated lipocalin (NGAL) concentration in plasma.; • Kidney Injury Molecule‐1 (KIM‐1) in plasma.; • Estimated Glomerular Filtration Rate (eGFR) based on plasma creatinine measurements.; • Ketones in blood.; • Incidence of keto‐acidosis defined as combination of blood ketone concentration &gt;3mmol/l in combination with high‐anion gap acidosis ([Na+]‐[Cl‐]‐[HCO3‐]&gt;12).; • Perioperative peak and average blood glucose levels, as measured during usual care.; • Incidence of hypoglycemia defined as blood glucose measurement &lt; 4 mmol/l at any time point between start of surgery and end of study.; ; Timing of outcome measurements:; For NGAL, KIM‐1, plasma ketones and incidence of keto‐acidosis:; ‐On day of surgery:; • Before start of surgery (after placement of arterial line); • At time of start of cardiopulmonary bypass (+/‐ 20 min); • At the end of cardiopulmonary bypass (+/‐ 20 min); • At time of transport to ICU (+/‐ 20 min); ‐Postoperatively; • Measured daily, in the morning between 8:00 and 12:00 until postoperative day 2.; For eGFR (creatinine); • Measured daily, in the morning between 8:00 and 12:00 until postoperative day 4.; For peak and average glucose and incidence of hypoglycaemia:; • any measurement occurring between start of surgery and end of study until postoperative day 4, as part of routine care. INCLUSION CRITERIA: • 18 to 90 years old (inclusive) • Undergoing elective cardiac surgery with cardio‐pulmonary bypass. • Providing informed consent</x:t>
  </x:si>
  <x:si>
    <x:t xml:space="preserve">NL-OMON26563,</x:t>
  </x:si>
  <x:si>
    <x:t xml:space="preserve">https://trialsearch.who.int/Trial2.aspx?TrialID=NL-OMON26563</x:t>
  </x:si>
  <x:si>
    <x:t xml:space="preserve">10.1002/central/cn-02711519/full</x:t>
  </x:si>
  <x:si>
    <x:t xml:space="preserve">https://www.cochranelibrary.com/central/doi/10.1002/central/CN-02711519/full</x:t>
  </x:si>
  <x:si>
    <x:t xml:space="preserve">SCR_000033</x:t>
  </x:si>
  <x:si>
    <x:t xml:space="preserve">Sodium-Glucose Co-Transporter 2 inhibition prior to cardiac surgery and postoperative atrial fibrillation: a pilot randomised controlled trial</x:t>
  </x:si>
  <x:si>
    <x:t xml:space="preserve">INTERVENTION: Randomisation to dapagliflozin tablet, orally, 10mg daily for 1 month before and after cardiac surgery versus standard of care. The total duration of dapagliflozin will be 2 months. In further detail, total duration of treatment is 56 days. Treatment will be initiated 31 days prior to surgery and participants will receive 28 days of medication, then the medication will be withheld for 3 days prior to surgery, and then withheld on the day of the surgery. Treatment will be re‐initiated post‐operatively once the participant is eating and drinking normally, which is likely to be on the first postoperative day. Post operatively, the medication will be given for 28 days. The pharmacy department will record the date of dispensing, and the number of tablets given. The pharmacy department also ask the participants to return unused medications, the number of unused tablets will be recorded on the study log. Participants will be provided with an AliveCor cardiac monitor postoperatively, to transmit their cardiac traces twice a day postoperatively. Participants taking dapagliflozin will be phoned every 2 weeks during the trial period to assess for side effects and answer questions, and 3 days before surgery to ensure cessation of medication. Participants will be given a trial information booklet. Cardiology consultants and fellows will be responsible for administering the trial, some elements over the phone and some in person visits; initial visit for consent/ collecting medication in person, phonecall after 2 weeks, another phonecall after 11 days, another phonecall 2 weeks post surgery, an in person visit 4 weeks after surgery. Medication collection/ adherence will be documented by pharmacy department. CONDITION: Atrial fibrillation;Cardiothoracic surgery; ; Atrial fibrillation ; Cardiothoracic surgery Cardiovascular ‐ Other cardiovascular diseases Surgery ‐ Other surgery PRIMARY OUTCOME: Atrial fibrillation burden over the 1 month postoperative period. Part 1: Inpatient stay.; ; During the hospital admission (likely to be approximately the first postoperative week), inpatient cardiac monitoring will be reviewed daily to assess the number of hours in atrial fibrillation.[Measured daily during the inpatient postoperative stay (estimated to be 1‐2 weeks), length of stay determined by clinical course and inpatient team; ] Atrial fibrillation burden over the 1 month postoperative period. Part 2: Following hospital discharge.; ; Once inpatient cardiac monitoring is removed (at the discretion of the treating team), the patient will be transitioned to AliveCor monitoring of their cardiac rhythm twice daily. Participants will be asked to return two traces each day of their heart rhythm, and additional traces if they experience symptoms concerning for atrial fibrillation, via their AliveCor device and compatible smartphone. The percentage of traces showing atrial fibrillation will be recorded and measured.[Measured daily over the 1 month post surgery.; ] Proportion of electrograms from the endocardial surface and epicardial surface showing endo‐epicardial dissociation, as measured during the intra‐operative electrophysiology study (using the BARD on wheels). There will be no pre‐ or post‐operative electrophysiology studies.; ; In simple terms, dissociation means there is a substantial timing difference in the arrival times of electrical wavefronts between opposed nearest neighbour electrodes on the endocardial and epicardial surfaces. ; ; Instruments; ‐ HD Grid catheters x2 per patient (St Jude Medical) for performance of intraoperative electrophysiology study; ‐ BARD on wheels for performance of electrophysiology study ; [Measured during cardiac surgery, prior to the commencement of cardiopulmonary bypass. No repeat recordings during cardiac surgery.] INCLUSION CRITERIA: Participants undergoing planned elective cardiac surgery (&gt; 1 month prior to surgical date at time of enrolment) SECONDARY OUTCOME: Conduction velocity measured in the direction of maximum vector amplitude. ; ; Tools: ; ‐ HD Grid catheters x2 per patient (St Jude Medical) for performance of intraoperative electrophysiology study ; ‐ BARD on wheels for performance of intraoperative electrophysiology study[Measured during cardiac surgery, prior to the commencement of cardiopulmonary bypass. No repeat recordings during cardiac surgery.] Difference in atrial effective refractory period ; ; Tools: ; ‐ HD Grid catheters x2 per patient (St Jude Medical) for performance of intraoperative electrophysiology study ; ‐ BARD on wheels for performance of intraoperative electrophysiology study[Measured during cardiac surgery, prior to the commencement of cardiopulmonary bypass. No repeat recordings during cardiac surgery.] Differences in renewal rate constants of rotor formation and destruction during induced atrial fibrillation episodes. ; ; We will measure the renewal rate constant of rotor formation and the renewal rate constant of rotor destruction and calculate the difference between formation and destruction. ; ; Tools: ‐ HD Grid catheters x2 per patient (St Jude Medical) for performance of intraoperative electrophysiology study ; ‐ BARD on wheels for performance of electrophysiology study[Measured during cardiac surgery, prior to the commencement of cardiopulmonary bypass. No repeat recordings during cardiac surgery.] Proportion of fractionated (high entropy) electrograms ; ; Tools: ; ‐ HD Grid catheters x2 per patient (St Jude Medical) for performance of intraoperative electrophysiology study ; ‐ BARD on wheels for performance of intraoperative electrophysiology study[Measured during cardiac surgery, prior to the commencement of cardiopulmonary bypass. No repeat recordings during cardiac surgery.] Proportion of patients with inducible atrial fibrillation ; ; Tools: ; ‐ HD Grid catheters x2 per patient (St Jude Medical) for performance of intraoperative electrophysiology study ; ‐ BARD on wheels for performance of intraoperative electrophysiology study ; [Measured during cardiac surgery, prior to the commencement of cardiopulmonary bypass. No repeat recordings during cardiac surgery.]</x:t>
  </x:si>
  <x:si>
    <x:t xml:space="preserve">ACTRN12621000684820,</x:t>
  </x:si>
  <x:si>
    <x:t xml:space="preserve">https://trialsearch.who.int/Trial2.aspx?TrialID=ACTRN12621000684820</x:t>
  </x:si>
  <x:si>
    <x:t xml:space="preserve">10.1002/central/cn-02281523/full</x:t>
  </x:si>
  <x:si>
    <x:t xml:space="preserve">https://www.cochranelibrary.com/central/doi/10.1002/central/CN-02281523/full</x:t>
  </x:si>
  <x:si>
    <x:t xml:space="preserve">SCR_000034</x:t>
  </x:si>
  <x:si>
    <x:t xml:space="preserve">The Effect of Dapagliflozin on the Incidence of Atrial Fibrillation After Coronary Artery Bypass Grafting</x:t>
  </x:si>
  <x:si>
    <x:t xml:space="preserve">INTERVENTION: Intervention 1: Intervention group:. Intervention 2: Control group:. CONDITION: Condition 1: Coronary Artery Bypass Grafting. Condition 2: Atrial fibrillation. ; Unspecified complication of cardiac and vascular prosthetic device, implant and graft ; Atrial fibrillation and flutter T82.9 PRIMARY OUTCOME: Occurrence of atrial fibrillation after coronary artery bypass grafting (CABG) Recording the presence or absence of atrial fibrillation (AF) in patients within 48 to 72 hours postoperatively, based on continuous telemetry monitoring and repeated electrocardiograms (ECG); this outcome is used to evaluate the effect of dapagliflozin in preventing AF as the primary endpoint of the study. Timepoint: It will begin 48 hours before the surgery and continue for 48 to 72 hours postoperatively. Method of measurement: Continuous cardiac rhythm monitoring using hospital telemetry systems and repeated electrocardiograms performed with a standard electrocardiography device to detect and record the occurrence of atrial fibrillation after coronary artery bypass grafting. INCLUSION CRITERIA: Patients undergoing elective Coronary Artery Bypass Grafting (CABG). Patients aged between 18 and 70 years who are candidates for CABG.</x:t>
  </x:si>
  <x:si>
    <x:t xml:space="preserve">IRCT20250302064896N2,</x:t>
  </x:si>
  <x:si>
    <x:t xml:space="preserve">https://trialsearch.who.int/Trial2.aspx?TrialID=IRCT20250302064896N2</x:t>
  </x:si>
  <x:si>
    <x:t xml:space="preserve">10.1002/central/cn-02888645/full</x:t>
  </x:si>
  <x:si>
    <x:t xml:space="preserve">https://www.cochranelibrary.com/central/doi/10.1002/central/CN-02888645/full</x:t>
  </x:si>
  <x:si>
    <x:t xml:space="preserve">SCR_000035</x:t>
  </x:si>
  <x:si>
    <x:t xml:space="preserve">Influence of SGLT2-inhibitor (Canagliflozin) in patients with DM who underwent cardiac surgery</x:t>
  </x:si>
  <x:si>
    <x:t xml:space="preserve">INTERVENTION: Canagliflozin 100mg/day for 6months CONDITION: patients with diabetes mellitus underwent cardiac surgery PRIMARY OUTCOME: somatic fat volume (CT) SECONDARY OUTCOME: HbA1c Body weight, body fat percentage ANP, BNP serum Cr,eGFR HbA1c, glycoalbumin, insulin, CPR U‐alb cystatin C, ox‐LDL, Lp (a), RLP‐cho, EPA/AA renin, angitennsin‐II, Aldosterone T‐cho,LDL,HDL.TG FMD, ABI, PWV UCG Bood pressure complication INCLUSION CRITERIA:</x:t>
  </x:si>
  <x:si>
    <x:t xml:space="preserve">UMIN000021239,</x:t>
  </x:si>
  <x:si>
    <x:t xml:space="preserve">2016</x:t>
  </x:si>
  <x:si>
    <x:t xml:space="preserve">https://trialsearch.who.int/Trial2.aspx?TrialID=JPRN-UMIN000021239</x:t>
  </x:si>
  <x:si>
    <x:t xml:space="preserve">10.1002/central/cn-01844339/full</x:t>
  </x:si>
  <x:si>
    <x:t xml:space="preserve">https://www.cochranelibrary.com/central/doi/10.1002/central/CN-01844339/full</x:t>
  </x:si>
  <x:si>
    <x:t xml:space="preserve">SCR_000036</x:t>
  </x:si>
  <x:si>
    <x:t xml:space="preserve">Evaluation of the Effect of Empagliflozin on the Incidence of Premature Atrial Contractions (PAC) and Premature Ventricular Contractions (PVC) in Patients Undergoing Coronary Artery Bypass Grafting (CABG)</x:t>
  </x:si>
  <x:si>
    <x:t xml:space="preserve">INTERVENTION: Intervention 1: Intervention group: Empagliflozin 10 mg oral tablet (produced by Abidi Pharmaceutical Company, Iran), administered once daily starting 48 hours before CABG surgery and continued for 48–72 hours after surgery, in addition to standard postoperative care. Intervention 2: Control group: Placebo tablet identical in appearance to empagliflozin, administered with the same dosing schedule (once daily starting 48 hours before CABG and continued for 48–72 hours after surgery), in addition to standard postoperative care. CONDITION: Condition 1: Coronary Artery Bypass Grafting. Condition 2: Premature Atrial Contractions (PAC) and Premature Ventricular Contractions (PVC). ; Chronic ischaemic heart disease ; Other cardiac arrhythmias PRIMARY OUTCOME: Incidence of premature atrial contractions (PAC) within 48–72 hours after CABG surgery. Timepoint: During continuous ECG monitoring from 48 to 72 hours after CABG surgery. Method of measurement: Continuous ECG monitoring and interpretation by a cardiologist. Incidence of premature ventricular contractions (PVC) within 48–72 hours after CABG surgery. Timepoint: During continuous ECG monitoring from 48 to 72 hours after CABG surgery. Method of measurement: Continuous ECG monitoring and interpretation by a cardiologist. INCLUSION CRITERIA: Age 18–70 years Patients with type 2 diabetes receiving SGLT2 inhibitors Elective candidates for coronary artery bypass grafting (CABG).</x:t>
  </x:si>
  <x:si>
    <x:t xml:space="preserve">IRCT20250302064896N4,</x:t>
  </x:si>
  <x:si>
    <x:t xml:space="preserve">https://trialsearch.who.int/Trial2.aspx?TrialID=IRCT20250302064896N4</x:t>
  </x:si>
  <x:si>
    <x:t xml:space="preserve">10.1002/central/cn-02899904/full</x:t>
  </x:si>
  <x:si>
    <x:t xml:space="preserve">https://www.cochranelibrary.com/central/doi/10.1002/central/CN-02899904/full</x:t>
  </x:si>
  <x:si>
    <x:t xml:space="preserve">SCR_000037</x:t>
  </x:si>
  <x:si>
    <x:t xml:space="preserve">"Comparison of the Effects of Dapagliflozin and Empagliflozin on the Incidence of Premature Atrial and Ventricular Contractions in Patients Undergoing Coronary Artery Bypass Graft Surgery</x:t>
  </x:si>
  <x:si>
    <x:t xml:space="preserve">INTERVENTION: Intervention 1: Intervention group:Intervention Group 1: Patients in this group will receive 10 mg of oral dapagliflozin tablets daily. Administration will begin 48 hours before coronary artery bypass graft (CABG) surgery and will continue until 72 hours postoperatively. The drug will be manufactured by Actoverco (Iran) and provided in standard pharmaceutical packaging. Patients will be continuously monitored with ECG for 72 hours after surgery. Intervention 2: Intervention group:Intervention Group 2: Patients in this group will receive 10 mg of oral empagliflozin tablets daily. Administration will begin 48 hours before coronary artery bypass graft (CABG) surgery and will continue until 72 hours postoperatively. The drug will be manufactured by Actoverco (Iran) and provided in standard pharmaceutical packaging. Patients will be continuously monitored with ECG for 72 hours after surgery. CONDITION: Condition 1: Atrial premature depolarization. Condition 2: Ventricular premature depolarization. ; Atrial premature depolarization ; Ventricular premature depolarization I49.1 I49.3 PRIMARY OUTCOME: Incidence of premature atrial contractions (PAC) and premature ventricular contractions (PVC) within 72 hours after coronary artery bypass graft surgery. Timepoint: The time points of measurement are within 72 hours after coronary artery bypass graft surgery. Method of measurement: The variable is measured using continuous ECG monitoring and clinical evaluation during the first 72 hours after surgery. INCLUSION CRITERIA: Patients undergoing elective Coronary Artery Bypass Grafting (CABG). Patients aged between 18 and 70 years who are candidates for CABG.</x:t>
  </x:si>
  <x:si>
    <x:t xml:space="preserve">IRCT20250302064896N3,</x:t>
  </x:si>
  <x:si>
    <x:t xml:space="preserve">https://trialsearch.who.int/Trial2.aspx?TrialID=IRCT20250302064896N3</x:t>
  </x:si>
  <x:si>
    <x:t xml:space="preserve">10.1002/central/cn-02899905/full</x:t>
  </x:si>
  <x:si>
    <x:t xml:space="preserve">https://www.cochranelibrary.com/central/doi/10.1002/central/CN-02899905/full</x:t>
  </x:si>
  <x:si>
    <x:t xml:space="preserve">SCR_000038</x:t>
  </x:si>
  <x:si>
    <x:t xml:space="preserve">Dapagliflozin Therapy In Cardiac Surgery</x:t>
  </x:si>
  <x:si>
    <x:t xml:space="preserve">Sodium‐Glucose Cotransporter 2 Inhibitor(SGLT2i) including dapagliflozin are widely usedin the clinical treatment of type 2 diabetes mellitus(T2DM). In recent studies, SGLT2iwere found to not only reduce blood glucose but also protect the heart and kidney, whichcan significantly reduce cardiovascular events, delay the progression of renal failure,greatly improve the quality of life of patients. Patients with T2DM have poorer cardiacsurgery outcomes compared with non‐diabetics. Based on the promising pharmacologicalprofile of dapagliflozin, we hypothesize that perioperative dapagliflozin therapy wouldimprove postoperative outcomes among patients undergoing cardiac surgery with T2DM. Thisrandomized controlled trial is to assess the effects of perioperative dapagliflozin ontype 2 diabetic patients undergoing cardiac surgery</x:t>
  </x:si>
  <x:si>
    <x:t xml:space="preserve">NCT05621551,</x:t>
  </x:si>
  <x:si>
    <x:t xml:space="preserve">https://clinicaltrials.gov/ct2/show/NCT05621551</x:t>
  </x:si>
  <x:si>
    <x:t xml:space="preserve">10.1002/central/cn-02495510/full</x:t>
  </x:si>
  <x:si>
    <x:t xml:space="preserve">https://www.cochranelibrary.com/central/doi/10.1002/central/CN-02495510/full</x:t>
  </x:si>
  <x:si>
    <x:t xml:space="preserve">SCR_000039</x:t>
  </x:si>
  <x:si>
    <x:t xml:space="preserve">Effect of Empagliflozin on Atrial Fibrillation Rhythm</x:t>
  </x:si>
  <x:si>
    <x:t xml:space="preserve">INTERVENTION: Intervention 1: Intervention group: Patients in this group will receive a daily 10 mg tablet of empagliflozin (brand name: Gloripa), manufactured by Abidi Pharmaceutical Company. Administration begins 48 hours prior to coronary artery bypass graft surgery and continues for up to 72 hours postoperatively. The drug will be taken orally once daily, with water, regardless of meals. The total duration of treatment will be approximately 5 to 6 days. Intervention 2: Control group: Patients in this group will receive standard postoperative care after coronary artery bypass graft surgery along with a placebo identical in shape, size, and color to the active drug. The placebo, also produced by Abidi, will be administered orally once daily, following the same schedule as the intervention group (from 48 hours before to 72 hours after surgery). CONDITION: atrial fibrillation (AF). ; atrial fibrillation (AF) PRIMARY OUTCOME: The primary outcome variable in this study is the occurrence of atrial fibrillation (AF) after coronary artery bypass graft surgery (CABG). This variable is identified and documented by a cardiologist based on electrocardiographic (ECG) evidence and recorded episodes of atrial fibrillation within 48 to 72 hours postoperatively. Timepoint: Atrial fibrillation will be measured and recorded at the following time points:Before coronary artery bypass graft surgery (as baseline)48 hours after surgery72 hours after surgery. Method of measurement: Atrial fibrillation will be measured using a standard twelve‐lead electrocardiogram device at the specified time points. Final diagnosis will be made by a cardiologist based on electrocardiogram interpretation. INCLUSION CRITERIA: Patients aged 18 to 70 years who are candidates for coronary artery bypass graft surgery (coronary artery bypass grafting; CABG).</x:t>
  </x:si>
  <x:si>
    <x:t xml:space="preserve">IRCT20250302064896N6,</x:t>
  </x:si>
  <x:si>
    <x:t xml:space="preserve">https://trialsearch.who.int/Trial2.aspx?TrialID=IRCT20250302064896N6</x:t>
  </x:si>
  <x:si>
    <x:t xml:space="preserve">10.1002/central/cn-02943673/full</x:t>
  </x:si>
  <x:si>
    <x:t xml:space="preserve">https://www.cochranelibrary.com/central/doi/10.1002/central/CN-02943673/full</x:t>
  </x:si>
  <x:si>
    <x:t xml:space="preserve">SCR_000040</x:t>
  </x:si>
  <x:si>
    <x:t xml:space="preserve">proMoting Effective Renoprotection in Cardiac sURgery Patients by Inhibition of SGLT-2</x:t>
  </x:si>
  <x:si>
    <x:t xml:space="preserve">Background of the study:Acute kidney injury is one of the most common complications after cardiac surgery. Thenew glucose‐lowering therapy, sodium glucose transport protein 2 inhibitors (SGLT2i)possess renoprotective properties in people with chronic kidney disease in the presenceor absence of type 2 diabetes. Large cardiovascular outcome trials in patients withdiabetes observed a lower incidence of acute kidney injury. However, these studies werenot powered to investigate this nor did acute kidney injury concern an adjudicatedendpoint.Objective of the study:To investigate the potential of preoperative initiation (from day 1 before surgery) andperioperative continuation (until day 2 after surgery) of the SGLT2 inhibitordapagliflozin 10 mg once daily to prevent AKI according to the KDIGO criteria in patientsundergoing cardiopulmonary bypass surgery.Study design:Multi‐centre, triple‐blinded (patients, physicians, investigators), parallel‐group,balanced (1:1), stratified (sex, type 2 diabetes mellitus), randomized, controlled(placebo), phase IV clinical trial.Study population:Patients undergoing cardiac surgery, aged &gt;18 years‐old.Intervention:Participants receive 10 mg dapagliflozin once daily or matching placebo starting 1 dayprior to surgery and continued until two days postoperatively (four doses).Primary outcome of the study:Incidence of AKI occurring in 7 days after surgery, according to KDIGO criteria, definedas an increase in serum creatinine by 0.3 mg/dl (26.5 mmol/l) within 48 hours; or anincrease in serum creatinine to 1.5 times baseline, within 7 days; or a urine output &lt;0.5ml/kg/h for &gt;6 hours.Secondary outcomes of the study: 1. Incidence of Stage 3 AKI. 2. Postoperative change of eGFR. 3. Postoperative Atrial Fibrillation for which treatment is initiated. 4. Length of Stay in the Intensive Care Unit. 5. Length of Stay in hospital. 6. MAKE: Major Adverse Kidney Events 7. MACE: Major Adverse Cardiovascular Events 8. Patient‐reported quality of recovery 1: DAH30: Days at Home in first 30 days 9. Patient‐reported quality of recovery 2: WHO‐DAS 2.0: World Health OrganisationDisability Assessment Schedule 2.0 10. Patient‐reported quality of recovery 3: EQ5D5L: 5 level EuroQol 5D questionnaire. 11. Safety outcomes: incidence of genital mycotic infections, diabetic keto‐acidosis,hypoglycaemia, postoperative complications and Serious Adverse Events (SAEs). 12. Productivity costs 13. Healthcare costs 14. Hyperglycaemia (&gt; 10 mmol/l) 15. Hypoglycaemia (&lt; 4 mmol/l) 16. Heart Rate 17. Mean Arterial Pressure 18. Cardiac Output 19. Peak postoperative Troponin 20. Peak postoperative CK‐MB 21. Postoperative Left Ventricular Function 22. Urinary oxygenation (patients included at Amsterdam UMC only)Nature and extent of the burden and risks associated with participation, benefit andgroup relatedness:General trial‐related burden:The investigators will withdraw 4.5 mL of blood at one day before surgery and one daypostoperatively for biomarker analysis. No extra venepunctures are required, as thesemeasurements coincide with routine clinical care.Intervention group‐related burden:Participants will be asked to take either 1 tablet of 10 mg dapagliflozin once daily from1 days before surgery until 2 days postoperative (including the day of surgery, fourdoses total) or a matching placebo regimen. Patients randomized to dapagliflozin will runa small risk of treatable side effects related to the study drug. These are rare forshort‐term treatments. Participants will be informed about the following side effects: 1. Genital mycotic infections: these usually only occur after longer‐term use of SGLT2inhibitors. In this study, patients will only receive this medication for up to 10doses. Treatment of this side effect is straightforward with antifungal treatment. 2. Euglycemic ketoacidosis: a lowering of the pH in the blood through the build‐up ofketones. This has been described in patients on long‐term treatment and is ascribedto altered insulin sensitivity through increased glucose loss by SGLT2 inhibition.For this and other reasons, patients with type 1 diabetes mellitus and patients withtype 2 diabetes mellitus and a body mass index &lt;25 kg/m2 are excluded from thistrial. We will monitor perioperative glucose and pH levels in all participantsaccording to routine perioperative care. In addition, patients using insulin therapywill receive a perioperative glucose/insulin infusion, which suppresses ketoneproduction. Should keto acidosis occur in any other patient, treatment isstraightforward with a glucose‐insulin infusion. 3. Hypoglycemia: only patients with diabetes mellitus using sulfonylurea or insulin areat risk, according to previous research. To prevent this side effect: patients willreceive an individualized adaptation of their glucose‐lowering medication by theinvestigator team. To treat this side effect, blood glucose will be monitored in allpatients according to standard perioperative cardiac surgery care and hypoglycaemiatreatment protocols with urgent administration of intravenous glucose are in place.Risk‐benefit:There is solid evidence to support that SGLT2 inhibitors offer kidney protection. Acutekidney injury is a common complication after cardiac surgery. The investigator'shypothesis is, therefore, that patients in the intervention group will receive protectionagainst acute kidney injury. In addition, the results from this trial could lead to theimprovement of care and protection of future patients undergoing cardiac surgery. Theside‐effect profile of dapagliflozin is mild, and participants will be intensivelymonitored in this study. Therefore, the investigators estimate that the benefits outweighthe risks of participation in this trial.Relevance and intended applications:The aim of this study is to determine whether SGLT2i can reduce the incidence of AKIfollowing cardiac surgery. Based on the results of this trial, SGLT2 inhibitors can beapplied as a standard prophylactic treatment in cardiac surgery patients to prevent AKI.Sample size:The investigators expect an incidence of AKI in the placebo group of 22%, as aconservative estimation, based on previous cohorts. Large outcome trails found a relativerisk reduction for AKI of 0.64 with SGLT2 inhibition. This translates into an absoluterisk reduction of 7.9% and an expected incidence in the intervention group of 14.1%. Therequired total sample size to find such a difference based on Fisher Exact test, withtwo‐sided alpha at 0.05 and 80% power is 784. Therefore, the aim is to include 392patients per arm.Keywords: SGLT2i; Acute Kidney Injury (AKI); Cardiac Surgery</x:t>
  </x:si>
  <x:si>
    <x:t xml:space="preserve">NCT05590143,</x:t>
  </x:si>
  <x:si>
    <x:t xml:space="preserve">https://clinicaltrials.gov/ct2/show/NCT05590143</x:t>
  </x:si>
  <x:si>
    <x:t xml:space="preserve">10.1002/central/cn-02475442/full</x:t>
  </x:si>
  <x:si>
    <x:t xml:space="preserve">https://www.cochranelibrary.com/central/doi/10.1002/central/CN-02475442/full</x:t>
  </x:si>
  <x:si>
    <x:t xml:space="preserve">SCR_000041</x:t>
  </x:si>
  <x:si>
    <x:t xml:space="preserve">Cardiorenal Biomarkers, Canagliflozin, and Outcomes in Diabetic Kidney Disease: the CREDENCE Trial</x:t>
  </x:si>
  <x:si>
    <x:t xml:space="preserve">BACKGROUND: People with type 2 diabetes and albuminuria are at an elevated risk for cardiac and renal events. The optimal biomarkers to aid disease prediction and to understand the benefits of sodium‐glucose cotransporter‐2 inhibition remain unclear. METHODS: Among 2627 study participants in the CREDENCE trial (Canagliflozin and Renal Events in Diabetes With Established Nephropathy Clinical Evaluation), concentrations of NT‐proBNP (N‐terminal pro‐B‐type natriuretic peptide), high‐sensitivity cardiac troponin T, growth differentiation factor‐15, and IGFBP7 (insulin‐like growth factor binding protein 7) were measured. The effect of canagliflozin on biomarker concentrations was evaluated. The prognostic potential of each biomarker on the primary outcome (a composite of end‐stage kidney disease [dialysis, transplantation, or a sustained estimated glomerular filtration rate of &lt;15 mL·min‐1·1.73 m‐2], doubling of the serum creatinine level, or renal death or cardiovascular death) was assessed. RESULTS: The median (quartiles 1 and 3) concentration of each biomarker was generally elevated: NT‐proBNP, 180 ng/L (82, 442 ng/L); high‐sensitivity cardiac troponin T, 19 ng/L (12, 29 ng/L); growth differentiation factor‐15, 2595 ng/L (1852, 3775 ng/L); and IGFBP7, 121.8 ng/mL (105.4, 141.5 ng/mL). At 1 year, the biomarkers all rose by 6% to 29% in the placebo arm but only by 3% to 10% in the canagliflozin arm (all P&lt;0.01 in multivariable linear mixed‐effect models). Baseline concentrations of each biomarker were strongly predictive of cardiac and renal outcomes. When the biomarkers were analyzed together in a multimarker panel, individuals with high risk scores (hazard ratio [HR], 4.01 [95% CI, 2.52‐6.35]) and moderate risk scores (HR, 2.39 [95% CI, 1.48‐3.87]) showed a higher risk for the primary outcome compared with those with low risk scores. By 1 year, a 50% increase in NT‐proBNP (HR, 1.11 [95% CI, 1.08‐1.15]), high‐sensitivity cardiac troponin T (HR, 1.86 [95% CI, 1.64‐2.10]), growth differentiation factor‐15 (HR, 1.45 [95% CI, 1.24‐1.70]), and IGFBP7 (HR, 3.76 [95% CI, 2.54‐5.56]) was associated with risk of the primary outcome. CONCLUSIONS: Multiple cardiorenal stress biomarkers are strongly prognostic in people with type 2 diabetes and albuminuria. Canagliflozin modestly reduced the longitudinal trajectory of rise in each biomarker. Change in the biomarker level in addition to the baseline level augments the primary outcome prediction. REGISTRATION: URL: https://www.clinicaltrials.gov; Unique identifier: NCT02065791.</x:t>
  </x:si>
  <x:si>
    <x:t xml:space="preserve">Januzzi, JL; Mohebi, R; Liu, Y; Sattar, N; Heerspink, HJL; Tefera, E; Vaduganathan, M; Butler, J; Yavin, Y; Li, J; et al.</x:t>
  </x:si>
  <x:si>
    <x:t xml:space="preserve">Circulation</x:t>
  </x:si>
  <x:si>
    <x:t xml:space="preserve">10.1161/circulationaha.123.065251</x:t>
  </x:si>
  <x:si>
    <x:t xml:space="preserve">JOUR; Journal article</x:t>
  </x:si>
  <x:si>
    <x:t xml:space="preserve">https://www.cochranelibrary.com/central/doi/10.1002/central/CN-02623703/full</x:t>
  </x:si>
  <x:si>
    <x:t xml:space="preserve">SCR_000042</x:t>
  </x:si>
  <x:si>
    <x:t xml:space="preserve">Efficay and Safety of Empagliflozin Versus Sitagliptin for the In-patient Management of Hyperglycemia</x:t>
  </x:si>
  <x:si>
    <x:t xml:space="preserve">The management of hyperglycemia in noncritically ill, hospitalized patients with diabetes mellitus is mainly based on insulin therapy . This usually consists of one dose of long‐acting basal insulin and three doses of rapid‐acting premeal bolus insulins (basal‐bolus insulin). Basal‐bolus insulin therapy is, however, labor intensive, requiring multiple insulin injections per day and multiple daily blood glucose checks. The use of oral antidiabetic medications has generally not been recommended for patients admitted to the hospital. This is because of the lack of safety and efficacy . data, and concerns about hypoglycemia. Oral medication usually has a slow onset of action that might preclude daily dose adjustments and have considerable interactions with concomitantly administered drugs. Oral antidiabetic medications are also withheld during hospitalization because of several safety concerns related to altered pharmacokinetics in cases of end‐stage organ disease, such as renal or liver failure. Dipeptidyl peptidase‐4 inhibitors (sitagliptin and linagliptin) have been studied for the treatment of hospitalized patients in the noncritical care setting. Complementary to insulin therapy, these drugs improved glycemia and were found to be safe. Sodium‐glucose cotransporter type 2 (SGLT2) inhibitors are another class of oral glucose‐lowering medication that is increasingly being used in patients with T2D, due to multiple pleiotropic efects . These drugs reduce cardiovascular mortality, especially by reducing the risk of heart failure, and also improve renal outcomes . Recently, two randomized controlled trials demonstrated improvement in several cardiac outcomes when SGLT2 inhibitors (empaglifozin and dapaglifozin) were initiated in patients admitted for acute heart failure, with or without diabetes .This trial aimed to examine the efficacy and safety of Empagliflozin in Hopitalised patients in comparison to Sitagliptin. Hyperglycaemia is a common and serious health‐care problem in hospitals, reported in approximately 30% of patients in general medicine and surgery with and without a history of previous diabetes mellitus..Extensive evidence from observational and randomised clinical studies in patients admitted to hospital indicates that hyperglycaemia, in patients both with and without diabetes, is a predictor of poor outcome.In such patients, hyperglycaemia is associated with prolonged hospital stay, increased incidence of infections, hospital complications, and death. Improvement in glycaemic control with insulin therapy has been shown to reduce the risk of infection and complications in patients in hospital critical‐care units and in patients admitted to general surgical and medical services. Although insulin therapy is the standard of care in hospitals, it is a source of medication errors and increased risk of hypoglycemia. An analysis of medication errors between 2006 and 2008 revealed that insulin was the drug with the greatest number of medication errors in hospitals. Hypoglycemia in the hospital has been associated with adverse cardiovascular outcomes such as prolonged QT intervals, ischemic electrocardiogram changes/angina, arrhythmias, sudden death, and increased inflammation..In addition, insulin‐induced hypoglycemia is associated with increases in C‐reactive protein and proinflammatory cytokines (TNF‐α, interleukin‐1β, IL‐6, and interleukin‐8), markers of lipid peroxidation, ROS, and leukocytosis.. The use of oral antidiabetic agents is not recommended in hospitals because few data are available regarding their safety and efficacy in the inpatient setting. Major limitations to the use of oral agents in the hospital include their side effect profiles and slow onset of action, which does not allow for rapid attainment of glycemic control or dose adjustments to meet the changing needs of acutely ill patients. Sodium glucose co‐transporter 2 (SGLT‐2) inhibitors are a new class of oral antidiabetic medications that increase urinary glucose excretion by reducing renal glucose reabsorption in the proximal convoluted tubules. Canaglifozin and dapaglifozin are the two available drugs approved by the U.S. Food and Drug Administration for management of type 2 diabetes. Both agents are effective in reducing A1C by 0.6‐0.8%, with a low risk of hypoglycemia. A recently published, randomized pilot study assessed the safety and efficacy of SGLT2 inhibitor Dapagliflozin for the inpatient management of type 2 diabetes(37). In this study done in hospitalized patients with T2D admitted for cardiac surgery, treatment with dapaglifozin 10 mg once a day plus basal‐bolus insulin or basal‐bolus insulin regimen alone in the early postoperative period resulted in similar glycemic control. There was a rapid improvement in glycemic control in both groups, without signifcant diferences in mean daily blood glucose, number and percentage of blood glucose values within the target of 70‐180 mg/dL, total daily insulin doses and number of daily insulin injections. As the use of dapaglifozin complementary to basal‐bolus insulin did not reduce insulin dose or the number of insulin injections per day, therefore dapaglifozin lacks glycemic efficacy in hospitalized cardiac surgery patients. A recently published, randomized pilot study assessed the safety and efficacy of the DPP‐4 inhibitor sitagliptin for the inpatient management of type 2 diabetes(31).In this trial, patients treated with diet, oral antidiabetic agents, or a low daily insulin dose (≤ 0.4 units/kg/day) were randomized to sitagliptin alone or in combination with low‐dose insulin glargine or to a basal‐bolus insulin regimen plus supplemental doses of insulin lispro. Glycemic control improved similarly in all treatment groups. The trial met the non‐inferiority threshold for the primary endpoint of differences between the sitagliptin‐basal and basal‐bolus groups for mean daily blood glucose concentrations. Of patients with type 2 diabetes admitted to general medicine and surgery services in hospital, treatment with a daily dose of sitagliptin and basal insulin or with a basal bolus regimen resulted in similar glycaemic control and frequency of complications.</x:t>
  </x:si>
  <x:si>
    <x:t xml:space="preserve">NCT06187285,</x:t>
  </x:si>
  <x:si>
    <x:t xml:space="preserve">https://clinicaltrials.gov/ct2/show/NCT06187285</x:t>
  </x:si>
  <x:si>
    <x:t xml:space="preserve">10.1002/central/cn-02652051/full</x:t>
  </x:si>
  <x:si>
    <x:t xml:space="preserve">https://www.cochranelibrary.com/central/doi/10.1002/central/CN-02652051/full</x:t>
  </x:si>
  <x:si>
    <x:t xml:space="preserve">SCR_000043</x:t>
  </x:si>
  <x:si>
    <x:t xml:space="preserve">Is Sacubitril-valsartan Superior to Dapagliflozin in Improving Myocardial Function Performance</x:t>
  </x:si>
  <x:si>
    <x:t xml:space="preserve">Coronary revascularization has matured as a field since coronary artery bypass grafting(CABG) was first developed over 50 years ago, with diagnostic and treatment methods haveadvanced dramatically. CABG remains the standard of care for obstructive coronary arterydisease, particularly for patients with multivessel disease or diabetes. (1) Despitesignificant therapeutic advances, patients with chronic heart failure (HF) remain at highrisk for HF progression and death. Sacubitril/valsartan (previously known as LCZ696) is afirst‐in‐class medicine that contains a neprilysin (NEP) inhibitor (sacubitril) and anangiotensin II (Ang‐II) receptor blocker (valsartan). NEP is an endopeptidase thatmetabolizes different vasoactive peptides including natriuretic peptides, bradykinin andAng‐II. In consequence, its inhibition increases mainly the levels of both, natriureticpeptides (promoting diuresis, natriuresis and vasodilatation) and Ang‐II whose effectsare blocked by the angiotensin receptor blocker, valsartan (reducing vasoconstriction andaldosterone release). (2) Sacubitril‐valsartan has been used selectively in patientsundergoing coronary artery bypass grafting (CABG) and ischemic cardiomyopathy due tosafety concerns. In a prospective observational study done by Narayan and his colleaguesin Patients with Ischemic Cardiomyopathy Undergoing Off‐Pump Coronary Artery BypassGrafting Primary outcome was tolerability and safety profile. Thirty consecutive patientsundergoing CABG with EF &lt;40% were included. No mortality or readmissions occurred during6 months' follow‐up. One patient only experienced hypotension requiring discontinuation.Mild elevation in blood urea nitrogen, so Sacubitril‐valsartan is well tolerated inpatients with reduced EF undergoing CABG and proved its safety and efficacy. (3)Dapagliflozin is a highly potent, reversible and selective sodium‐glucose cotransporter‐2inhibitor indicated worldwide for the treatment of type 2 diabetes. In numerouswell‐designed clinical studies dapagliflozin as monotherapy and combination therapy withother antihyperglycemic agents provided effective glycemic control and reduced bodyweightand blood pressure (BP) across a broad spectrum of patients. Dapagliflozin reduced therate of cardiovascular (CV) death or hospitalization for heart failure (HF), did notadversely affect major adverse cardiovascular events (MACE) and possibly reducedprogression of renal disease in patients with established atherosclerotic CV disease(CVD) or multiple risk factors for CVD. (4)</x:t>
  </x:si>
  <x:si>
    <x:t xml:space="preserve">NCT06090487,</x:t>
  </x:si>
  <x:si>
    <x:t xml:space="preserve">https://clinicaltrials.gov/ct2/show/NCT06090487</x:t>
  </x:si>
  <x:si>
    <x:t xml:space="preserve">10.1002/central/cn-02606290/full</x:t>
  </x:si>
  <x:si>
    <x:t xml:space="preserve">https://www.cochranelibrary.com/central/doi/10.1002/central/CN-02606290/full</x:t>
  </x:si>
  <x:si>
    <x:t xml:space="preserve">SCR_000044</x:t>
  </x:si>
  <x:si>
    <x:t xml:space="preserve">Dapagliflozin Evaluation on Atrial Fibrillation Patients Followed Cox Maze IV Procedure</x:t>
  </x:si>
  <x:si>
    <x:t xml:space="preserve">Atrial fibrillation (AF) is the most common arrhythmia, which leads to reduced cardiac output and promotes the occurrence of heart failure, and abnormal hemodynamic changes in the left atrium induce thrombosis, which seriously reduces the quality of life, and even leads to death. For patients who need cardiac surgery combined with the Cox‐Maze IV (CMIV) surgical ablation, oral amiodarone postoperatively for three consecutive months was recommended as the preferred treatment option. However, the study found there were still 15%‐35% of patients at risk of AF recurrence. Dapagliflozin, a sodium‐glucose cotransporter 2 inhibitor, has been widely used for the treatment of type 2 diabetes mellitus and heart failure. Nonetheless, it remains unknown whether dapagliflozin can improve the recurrence of AF and reduces adverse cardiovascular events for patients who need CMIV ablation, and whether it can be routinely used for AF patients without diabetes or heart failure. Therefore, this study aims to explore the effect of postoperative oral dapagliflozin on the recurrence of AF after CMIV.</x:t>
  </x:si>
  <x:si>
    <x:t xml:space="preserve">NCT05816733,</x:t>
  </x:si>
  <x:si>
    <x:t xml:space="preserve">https://clinicaltrials.gov/show/NCT05816733</x:t>
  </x:si>
  <x:si>
    <x:t xml:space="preserve">10.1002/central/cn-02559532/full</x:t>
  </x:si>
  <x:si>
    <x:t xml:space="preserve">https://www.cochranelibrary.com/central/doi/10.1002/central/CN-02559532/full</x:t>
  </x:si>
  <x:si>
    <x:t xml:space="preserve">SCR_000045</x:t>
  </x:si>
  <x:si>
    <x:t xml:space="preserve">Evaluation of the effect of empagliflozin on prevention of atrial fibrillation after heart surgery</x:t>
  </x:si>
  <x:si>
    <x:t xml:space="preserve">INTERVENTION: Intervention 1: Intervention group: It includes patients who receive 10 mg empagliflozin tablets made by abidi under the brand name Gloripa once daily for three days before to three days after surgery. The drug is taken by the patient himself and at home during the three days before the surgery and during the three days after the surgery by the nurses working in the intensive care unit. Intervention 2: Control group: It includes patients who receive a placebo once daily three days before to three days after surgery, which has been prepared in the Pharmaceutics Laboratory of Mashhad School of Pharmacy. The drug is taken by the patient himself and at home during the three days before the surgery and during the three days after the surgery by the nurses working in the intensive care unit. CONDITION: Atrial fibrillation after heart surgery. ; Paroxysmal atrial fibrillation PRIMARY OUTCOME: The incidence of atrial fibrillation. Timepoint: Through 72 hrs after heart surgery. Method of measurement: Holter monitoring. SECONDARY OUTCOME: C‐Reactive Protein (CRP) blood concentration. Timepoint: Before surgery and 3 days after surgery. Method of measurement: Laboratory. Lenght of hospital stay. Timepoint: From heart surgery to discharge. Method of measurement: Counting of hospitalizations days. The incidence of ventricular and supra‐ventricular arrhythmias. Timepoint: Through 72 hrs after heart surgery. Method of measurement: Holter monitoring. INCLUSION CRITERIA: Candidates for heart surgery including CABG or valve replacement 70 yr &gt; age &gt; 18 yr Taking ACEIs/ARBs, beta‐blockers, statins and aspirin for CABG patients</x:t>
  </x:si>
  <x:si>
    <x:t xml:space="preserve">IRCT20120520009801N9,</x:t>
  </x:si>
  <x:si>
    <x:t xml:space="preserve">https://trialsearch.who.int/Trial2.aspx?TrialID=IRCT20120520009801N9</x:t>
  </x:si>
  <x:si>
    <x:t xml:space="preserve">10.1002/central/cn-02520855/full</x:t>
  </x:si>
  <x:si>
    <x:t xml:space="preserve">https://www.cochranelibrary.com/central/doi/10.1002/central/CN-02520855/full</x:t>
  </x:si>
  <x:si>
    <x:t xml:space="preserve">SCR_000046</x:t>
  </x:si>
  <x:si>
    <x:t xml:space="preserve">Effects of Empagliflozin on Post-Operative Atrial Fibrillation</x:t>
  </x:si>
  <x:si>
    <x:t xml:space="preserve">INTERVENTION: Intervention 1: Intervention group: The patients will receive empagliflozin 10 mg daily along with their other medications from the day of randomization to the discharge day (max= 30 days). Intervention 2: Control group: The patients will receive matching placebo daily along with their other medications from the day of randomization to the discharge day (max= 30 days). CONDITION: atrial fibrillation. ; Unspecified atrial fibrillation and atrial flutter I48.9 PRIMARY OUTCOME: Rate of post operative atrial fibrillation. Timepoint: Until the discharge day (max= 30 days). Method of measurement: Daily monitoring of 12‐lead 24‐hour ECG strips by resident physician. INCLUSION CRITERIA: patients older than 18 years of age scheduled for elective coronary artery bypass graft surgery patients who agree to receive treatment with empagliflozin SECONDARY OUTCOME: Composite of venous and arterial thrombosis. Timepoint: Until the discharge day (max= 30 days). Method of measurement: Composite of adjudicated arterial thrombosis (including type I MI and peripheral arterial thrombosis) and venous thrombosis (including DVT and PE) confirmed with appropriate diagnostic tools. Duration of hospitalization. Timepoint: Until discharge or death. Method of measurement: Total hospital length‐of‐stay. In‐hospital mortality. Timepoint: Until the discharge day (max= 30 days). Method of measurement: In‐hospital mortality, including cause‐specific mortality: cardiac arrhythmic, cardiac nonarrhythmic, non‐cardiovascular. Ischemic Stroke. Timepoint: Until the discharge day (max= 30 days). Method of measurement: Any adjudicated clinically diagnosed ischemic stroke confirmed by appropriate diagnostic imaging (CT or MRI). Need for renal replacement therapy. Timepoint: Until the discharge day (max= 30 days). Method of measurement: Treatment with any forms of dialysis (hemodialysis, hemodiafiltration, and peritoneal dialysis) or hemofiltration. Need for vasopressor/inotrope. Timepoint: Until the discharge day from special wards (max= 30 days). Method of measurement: The amount of average daily vasopressor/inotrope dose. Rate of genitourinary tract infections. Timepoint: Until the discharge day (max= 30 days). Method of measurement: Any adjudicated laboratory and clinically confirmed urinary tract infections including cystitis, pyelonephritis, prostatitis, urethritis, and vaginitis. Rate of hypoglycemia. Timepoint: Until the discharge day (max= 30 days). Method of measurement: Any recorded episode of hypoglycemia defined as BS&lt; 70 mg/dL. Rate of ketoacidosis. Timepoint: Until the discharge day (max= 30 days). Method of measurement: Any adjudicated clinically and laboratory confirmed ketoacidosis. Rate of life‐threatening infections. Timepoint: Until the discharge day (max= 30 days). Method of measurement: Any adjudicated clinically and laboratory confirmed systemic infection which leads to parenteral broad spectrum antibiotic initiation. Rate of other life‐threatening arrhythmia. Timepoint: Until the discharge day from special wards (max= 30 days). Method of measurement: Other supraventricular tachycardia (SVT) of at least 30 seconds duration and documented by rhythm strip or 12‐lead ECG.Ventricular tachycardia (VT) of at least 30 seconds duration and documented by rhythm strip or 12‐lead ECG.Ventricular fibrillation (VF) of at least 30 seconds duration and documented by rhythm strip or 12‐lead ECG. Rate of post‐operative acute kidney injury. Timepoint: 7 days after surgery. Method of measurement: AKI occurring within 7 days of CABG using the KDIGO definition of AKI.</x:t>
  </x:si>
  <x:si>
    <x:t xml:space="preserve">IRCT20230110057098N1,</x:t>
  </x:si>
  <x:si>
    <x:t xml:space="preserve">https://trialsearch.who.int/Trial2.aspx?TrialID=IRCT20230110057098N1</x:t>
  </x:si>
  <x:si>
    <x:t xml:space="preserve">10.1002/central/cn-02534638/full</x:t>
  </x:si>
  <x:si>
    <x:t xml:space="preserve">https://www.cochranelibrary.com/central/doi/10.1002/central/CN-02534638/full</x:t>
  </x:si>
  <x:si>
    <x:t xml:space="preserve">SCR_000047</x:t>
  </x:si>
  <x:si>
    <x:t xml:space="preserve">Efficacy and Safety of Dapagliflozin for the Hospital Management of Patients With Type 2 Diabetes</x:t>
  </x:si>
  <x:si>
    <x:t xml:space="preserve">Background Good glycemic control is crucial for improving clinical outcomes in hospitalized patients with diabetes. Multiple insulin injections (one dose of long‐acting insulin and three doses of rapid‐acting pre‐meal bolus insulins) are the standard of care for the hospital management of patients with diabetes. Sodium‐glucose cotransporter 2 (SGLT‐2) inhibitors is a class of glucose‐lowering agents that are increasingly being used in patients with type 2 diabetes, due to multiple pleiotropic effects. These drugs reduce cardiovascular mortality, especially by reducing risk of heart failure, and also improve renal outcomes. The role of SGLT‐2 inhibitors in the treatment of patients admitted to hospital in a non‐critical care setting has not been assessed. Accordingly, the proposed study will provide a clinically useful information on the efficacy (blood glucose control) and safety (hypoglycemia) of dapagliflozin (an SGLT‐2 inhibitor) for the management of hospitalized patients with type 2 diabetes. Summary The purpose of the trial is to examine whether treatment with dapagliflozin plus insulin as compared with insulin alone (basal‐bolus insulin) will result in similar blood glucose control and similar rate of complications in patients with diabetes, who are admitted to a hospital in a noncritical setting. Arms and interventions Arms Study participants with type 2 diabetes undergoing elective coronary artery bypass graft (CABG) surgery will receive basal‐bolus regimen (one dose of long‐acting basal insulin and three doses of rapid‐acting pre‐meal bolus insulins) on the third day of surgery (transition from intravenous insulin infusion). One arm (dapagliflozin group) will receive dapagliflozin 10 mg daily in addition to basal‐bolus regimen while another group (basal‐bolus group) will receive basal‐bolus insulin without dapagliflozin. Both arms will receive glargine U300 as basal insulin and lispro U100 as rapid‐acting bolus insulin. Dapagliflozin group: Dapagliflozin 10 mg, every day before breakfast. Glargine insulin 300 Units/mL, average dose: 10‐20 U/day; Insulin lispro 100 Units/mL, average dose: 10‐30 U/day Basal‐bolus group: Glargine insulin; 300 Units/mL, average dose: 10‐20 U/day; Insulin lispro 100 Units/mL, average dose: 10‐30 U/day Primary outcome measure Noninferiority in mean differences between groups in their daily blood glucose concentrations. [Time Frame: The first 7 days of therapy in hospital and 5 days post‐discharge] Blood glucose will be measured pre‐breakfast, pre‐lunch, pre‐dinner and night‐time (0300 hours). Mean daily blood glucose concentration will be calculated to determine differences in inpatient glycemic control in patients with type 2 diabetes treated with dapagliflozin 10 mg plus basal‐bolus insulin or basal‐bolus regimen, using glargine U300 as basal insulin and insulin lispro U100 before meals. Sample size calculation Noninferiority for the primary end point of glycemic control will be defined as a mean blood glucose difference of &lt;18 mg/dL between dapagliflozin group and basal‐bolus group. A blood glucose difference of such a magnitude has been reported in other superiority trials as nonclinically significant and is smaller than significant treatment effects. Assuming the true blood glucose difference between the treatment groups is zero, and using one‐sided, two‐sample t tests, Principal Investigato required 90 subjects for each treatment group to achieve 90% power. Principal Investigator do not expect any attrition rate. Principal Investigato aimed to enrol 200 subjects in total to achieve &gt;90% power. Procedures Patients will be treated with a basal‐bolus insulin regimen approach as previously reported. In brief, all study participants will receive insulin infusion till soft diet is initiated. Dose of insulin (units/hour) for last 4 hours will be calculated and that dose will be multiplied by 24 to get the 24 hour insulin utilization, and 80% of that 24‐h dose was be as total daily dose (TDD). Half of the TDD will be administered as once‐daily basal insulin (glargine U300) at 11:00 am, and half as prandial insulin (lispro U100) divided in three equal doses before meals. Insulin infusion will be continued till lunch time, and will be discontinued once pre‐lunch rapid‐acting bolus dose is administered. No interim analysis will be performed. Dapagliflozin group will receive first dose of dapagliflozin 10 mg, before lunch on the same day, followed by before breakfast next day onwards. Glargine U100 will be given once daily, at the same time of the day (11:00 am). Insulin doses will be adjusted daily to maintain a fasting blood glucose &lt;140 mg/dL, and pre‐meals &lt;180 mg/dL, while avoiding hypoglycemia &lt;70 mg/dL. The TDD will be increased by 10% if blood glucose was between 140 and 180 mg/dL, by 20% if BG was between 180 and 240 mg/dL, and by 30% if BG was &gt;240 mg/dL. Glucose Monitoring Glucose levels will be assessed by capillary point‐of‐care (POC) testing before meals, and at night‐time (0300 hours). A subgroup of participants (n = 100) will wear a professional (blinded) Abbott FreeStyle Libre continuous glucose monitor (CGM). Statistical Analysis Noninferiority for the primary end point of glycemic control was defined as a mean BG difference of &lt;18 mg/dL between dapagliflozin group and basal‐bolus group. . A BG difference of such a magnitude has been reported in other superiority trials as nonclinically significant and is smaller than significant treatment effects. Assuming the true BG difference between the treatment groups is zero, and using one‐sided, two‐sample t tests, Principal Investigato required 90 participants for each treatment group to achieve 90% power. Accounting for a 5% attrition rate, Principal Investigatoaimed to enrol 200 participants in total to achieve &gt;90% power. To compare baseline and clinical characteristics and outcomes, such as mean daily BG, occurrence of hypoglycemia, and occurrence of complications between treatment groups,Principal Investigato used nonparametric Wilcoxon tests for continuous variables and χ2 tests (or the Fisher exact test) for discrete variables. To determine differences in the primary end point, Principal Investigatoperformed a cross‐sectional analysis using nonparametric Kruskal‐Wallis tests (or Wilcoxon tests) or one‐way ANOVA, followed by repeated‐measures ANOVA to estimate and test the difference between the two treatment groups while simultaneously examining mean daily BG across multiple days during treatment. Secondary end point analysis was not adjusted for multiple comparisons. A P value of &lt;0.05 was considered significant. The data are presented as mean ± SD for continuous variables and count (percentage) for discrete variables. Principal Investigatoperformed the statistical analyses with SAS 9.4 software.</x:t>
  </x:si>
  <x:si>
    <x:t xml:space="preserve">NCT05457933,</x:t>
  </x:si>
  <x:si>
    <x:t xml:space="preserve">https://clinicaltrials.gov/show/NCT05457933</x:t>
  </x:si>
  <x:si>
    <x:t xml:space="preserve">10.1002/central/cn-02423845/full</x:t>
  </x:si>
  <x:si>
    <x:t xml:space="preserve">https://www.cochranelibrary.com/central/doi/10.1002/central/CN-02423845/full</x:t>
  </x:si>
  <x:si>
    <x:t xml:space="preserve">SCR_000048</x:t>
  </x:si>
  <x:si>
    <x:t xml:space="preserve">Evaluation of the efficacy and safety of Dapagliflozin in the prevention of post-CABG atrial fibrillation</x:t>
  </x:si>
  <x:si>
    <x:t xml:space="preserve">INTERVENTION: Intervention 1: Intervention group: patients will receive dapagliflozin 10 mg (manufactured by Tehran Chemie Pharmaceutical Company) once daily from three days before surgery until three days after surgery. Before surgery, the medication will be self‐administered by the patient at home, and after surgery, it will be administered by the ICU nurse. Intervention 2: Control group: Patients in the placebo group will also receive a tablet that is identical in appearance to dapagliflozin, administered according to the same schedule as the dapagliflozin group. CONDITION: Postoperative atrial fibrillation (POAF). ; Atrial fibrillation and flutter PRIMARY OUTCOME: Incidence of postoperative atrial fibrillation: any atrial fibrillation episode lasting more than 30 seconds recorded by ECG will be considered atrial fibrillation. Timepoint: The primary outcome will be assessed using continuous ECG monitoring from the time of CABG until 72 hours postoperatively. Method of measurement: using continuous electrocardiography (ECG) monitoring. SECONDARY OUTCOME: 28‐day mortality. Timepoint: The 28‐day mortality rate after discharge will be followed up by the clinical pharmacy assistant via telephone contact. Method of measurement: telephone contact. CRP level. Timepoint: A blood sample will be obtained by the nurse before surgery and on the third postoperative day to assess CRP levels. Method of measurement: Blood sample analysis using the Immunoturbidimetric method. Incidence of each type of ventricular arrhythmia assessed separately. Timepoint: will be assessed using continuous ECG monitoring from the time of CABG until 72 hours postoperatively. Method of measurement: using continuous electrocardiography (ECG) monitoring. Incidence of the composite ventricular arrhythmia outcome: any episode of ventricular tachycardia and/or ventricular fibrillation lasting at least 30 seconds, detected by ECG monitoring, will be considered a ventricular arrhythmia. Timepoint: will be assessed using continuous ECG monitoring from the time of CABG until 72 hours postoperatively. Method of measurement: using continuous electrocardiography (ECG) monitoring. Length of ICU stay. Timepoint: From the time of CABG surgery to ICU discharge. Method of measurement: Checklist. Serum creatinine level. Timepoint: Blood samples for serum creatinine measurement will be obtained by the nurse at baseline before surgery and then daily for up to three days postoperatively. Method of measurement: Blood sample analysis using the Jaffe method. INCLUSION CRITERIA: Individuals aged =18 years and &lt;80 years Patients with angiographically confirmed coronary artery disease who are candidates for coronary artery bypass graft (CABG) surgery</x:t>
  </x:si>
  <x:si>
    <x:t xml:space="preserve">IRCT20200328046886N9,</x:t>
  </x:si>
  <x:si>
    <x:t xml:space="preserve">https://trialsearch.who.int/Trial2.aspx?TrialID=IRCT20200328046886N9</x:t>
  </x:si>
  <x:si>
    <x:t xml:space="preserve">10.1002/central/cn-03031148/full</x:t>
  </x:si>
  <x:si>
    <x:t xml:space="preserve">https://www.cochranelibrary.com/central/doi/10.1002/central/CN-03031148/full</x:t>
  </x:si>
  <x:si>
    <x:t xml:space="preserve">SCR_000049</x:t>
  </x:si>
  <x:si>
    <x:t xml:space="preserve">Effects of SGLT2 Inhibitor on Type 2 Diabetic Patients Undergoing Cardiac Surgery</x:t>
  </x:si>
  <x:si>
    <x:t xml:space="preserve">Patients with diabetes have poorer cardiac surgery outcomes compared with non‐diabetics. Proper blood glucose management is critical to reduce the morbidity and mortality for diabetic patients after cardiac surgery. SGLT2 inhibitors including dapagliflozin as a new diabetes drug can reduce heart failure hospitalization rates and overall cardiovascular mortality in patients with cardiovascular disease. This study is to assess the impact of one year of treatment of SGLT2 inhibitors on cardiac function, postoperative complications and long‐term cardiovascular mortality in diabetic patients undergoing cardiac surgery. The investigators use echocardiography to evaluated cardiac function in diabetic patients during perioperative cardiac surgery.</x:t>
  </x:si>
  <x:si>
    <x:t xml:space="preserve">NCT04340908,</x:t>
  </x:si>
  <x:si>
    <x:t xml:space="preserve">https://clinicaltrials.gov/show/NCT04340908</x:t>
  </x:si>
  <x:si>
    <x:t xml:space="preserve">10.1002/central/cn-02091523/full</x:t>
  </x:si>
  <x:si>
    <x:t xml:space="preserve">https://www.cochranelibrary.com/central/doi/10.1002/central/CN-02091523/full</x:t>
  </x:si>
  <x:si>
    <x:t xml:space="preserve">SCR_000050</x:t>
  </x:si>
  <x:si>
    <x:t xml:space="preserve">Dapagliflozin for Inpatient Hyperglycemia in Cardiac Surgery Patients with Type 2 Diabetes-Randomized Controlled Trial</x:t>
  </x:si>
  <x:si>
    <x:t xml:space="preserve">Sodium/glucose cotransporter‐2 (SGLT2) inhibitors have not been assessed extensively for the treatment of hyperglycemia in noncritically ill, hospitalized patients with type 2 diabetes (T2D). In this investigator‐initiated, treat‐to‐target, randomized trial, 250 cardiac surgery patients with T2D were randomly assigned (1:1) to receive dapagliflozin 10 mg daily plus basal‐bolus insulin (DAPA group) or basal‐bolus insulin alone (INSULIN group) in the early postoperative period. The primary outcome was mean differences between groups in their daily blood glucose (BG) concentrations. The major safety outcomes were the occurrence of severe ketonemia/diabetic ketoacidosis (DKA) and hypoglycemia. All analyses were performed according to the intention‐to‐treat principle. There were no differences in mean daily BG concentrations (149 vs. 150 mg/dL), mean percentage of readings within the target BG of 70‐180 mg/dL (82.7% vs. 82.5%), daily total insulin dose (mean, 39 vs. 40 units/day), number of daily insulin injections (median, 3.9 vs. 4), length of stay (median, 10 vs. 10 days), or hospital complications (21.6% vs. 24.8%) between the DAPA and INSULIN groups. Mean plasma ketone levels were significantly higher in the DAPA group than in the INSULIN group at day 3 (0.71 vs. 0.30 mmol/L) and day 5 (0.42 vs. 0.19 mmol/L) of randomization. Six patients in the DAPA group developed severe ketonemia, but none developed DKA. There were no differences in the proportion of patients with BG &lt;70 mg/dL (9.6% vs. 7.2%) between the treatment groups. Numerically fewer patients in the DAPA group developed acute kidney injury (7.2%) than in the insulin group (12.8%). These findings indicate that dapagliflozin complementary to basal‐bolus insulin does not improve glycemia further over and above the basal‐bolus in hospitalized cardiac surgery patients with T2D. However, dapagliflozin is safe and does not increase the incidence of DKA or other complications during the hospital stay.</x:t>
  </x:si>
  <x:si>
    <x:t xml:space="preserve">Kuchay, MS; Khatana, P; Mishra, M; Parvathi, S; Kaur, P; Wasir, JS; Kaur, H; Singh, A; Jain, R; Kohli, C; et al.</x:t>
  </x:si>
  <x:si>
    <x:t xml:space="preserve">Diabetes</x:t>
  </x:si>
  <x:si>
    <x:t xml:space="preserve">10.2337/db23-100-lb</x:t>
  </x:si>
  <x:si>
    <x:t xml:space="preserve">https://www.cochranelibrary.com/central/doi/10.1002/central/CN-02615004/full</x:t>
  </x:si>
  <x:si>
    <x:t xml:space="preserve">SCR_000051</x:t>
  </x:si>
  <x:si>
    <x:t xml:space="preserve">Effect of Dapagliflozin on the occurrence of Atrial fibrillation rhythm</x:t>
  </x:si>
  <x:si>
    <x:t xml:space="preserve">INTERVENTION: Intervention 1: "Intervention group:" Dapagliflozin recipients who underwent echocardiography during hospitalization and were treated with dapagliflozin 10 mg (Medava Pharmaceutical Company) daily for 5 days before surgery. The drug was discontinued the night before surgery, and the drug was restarted after surgery and the oral diet was started and continued for 4 days. Intervention 2: "Control group:" Placebo recipients who underwent echocardiography during hospitalization and were treated with placebo 10 mg (Medava Pharmaceutical Company) daily for 5 days before surgery. The drug was discontinued the night before surgery, and the drug was restarted after surgery and the oral diet was started and continued for 4 days. CONDITION: Post operative Atrial fibrilation. PRIMARY OUTCOME: Post‐operative atrial fibrillation (POAF) is one of the most important complications of cardiac surgery, which can increase morbidity and mortality, increase length of stay, and cost of treatment, and can also lead to dangerous consequences such as heart attack, acute renal infarction, congestive heart failure, and even death for the patient. Timepoint: To assess AF rhythm, patients are monitored 24 hours a day in the cardiac surgery intensive care unit with 24‐hour monitoring, on the second day in the ward with ECG every 8 hours or when the patient becomes symptomatic and ECG is taken on the third day with 24‐hour Holter monitoring (given the maximum incidence of AF on the third day), and on the fourth day with ECG. Method of measurement: Holter heart rhythm Electrocardiogram. INCLUSION CRITERIA: Adult patients over 18 years Patients who have given informed consent Sinus rhythm before surgery</x:t>
  </x:si>
  <x:si>
    <x:t xml:space="preserve">IRCT20241121063794N1,</x:t>
  </x:si>
  <x:si>
    <x:t xml:space="preserve">https://trialsearch.who.int/Trial2.aspx?TrialID=IRCT20241121063794N1</x:t>
  </x:si>
  <x:si>
    <x:t xml:space="preserve">10.1002/central/cn-02888676/full</x:t>
  </x:si>
  <x:si>
    <x:t xml:space="preserve">https://www.cochranelibrary.com/central/doi/10.1002/central/CN-02888676/full</x:t>
  </x:si>
  <x:si>
    <x:t xml:space="preserve">SCR_000052</x:t>
  </x:si>
  <x:si>
    <x:t xml:space="preserve">SGLT2 Inhibitor TrEatment iN Patients Awaiting cOronary arTery bYpass Surgery to Reduce Post-opErative AF</x:t>
  </x:si>
  <x:si>
    <x:t xml:space="preserve">Study centers: Up to 7 centers in Sweden, Denmark, and the Czech Republic.Phase of development: III.Objectives: In a multicenter, prospective, randomized, controlled clinical trial tocompare dapagliflozin 10 mg once daily and placebo in preventing post‐operative atrialfibrillation (AF) and acute kidney injury (AKI) in patients with chronic coronarysyndrome undergoing coronary artery bypass surgery (CABG).Methodology: Following informed consent, 800 participants are randomized in a 1:1 fashionto the intervention arm receiving a 10 mg tablet of dapagliflozin once daily and thecomparator arm receiving a placebo tablet once daily for a minimum of 1 week whileawaiting scheduled CABG surgery. Treatment will be terminated at the time of dischargefrom hospital after CABG surgery. Aside from a follow‐up telephone call one week afterdischarge to collect safety data‐and an on‐site visit for type 2 diabetes patients‐noextra monitoring or visits are included in the trial. Patients will be followed up 30days and 12 months through national registries.Primary endpoint: Incidence of new onset post‐operative AF during hospitalizationfollowing CABG surgery.Secondary endpoints:Key secondary endpoint: AKI (as defined by at least a 1.5‐fold increase from baseline inserum creatinine within the prior seven days, an absolute increase in serum creatinine of26.5 µmol/L or more within 48 hours, or a urine volume of less than 0.5 mL/kg/h for atleast six hours, following Kidney Disease Improving Global Outcomes grade 1 or above)in‐hospital after CABG surgery.Safety endpoint: The safety and tolerability of dapagliflozin will be evaluated byreporting adverse events (AEs), serious adverse events (SAEs), and suspected unexpectedserious adverse events (SUSARs) from the start of treatment until one weekpost‐discharge.Other secondary variables during hospitalization after CABG surgery include: 1. All‐cause mortality; 2. Stroke; 3. New onset heart failure; 4. Ventriculararrhythmia; 5. Electrical cardioversion for AF; 6. Use of amiodarone for AF; 7.Change in inflammatory and cardiac biomarkers from baseline to three days after CABGsurgery; 8. Change in HbA1c from baseline to three days after CABG surgery; 9.Length of intensive care unit and hospital stay.Secondary variables after hospital discharge include: 1. 30‐day all‐cause mortality; 2. 12‐month all‐cause mortality; 3. 12‐month myocardialinfarction; 4. 12‐month stroke; 5. 12‐month hospital admission for AF or heartfailure; 6.12‐month dialysis treatment.All events will be adjudicated by an independent clinical endpoint committee.Quality assurance: Sites will be monitored according to a specific study monitoring plan.Before starting the clinical trial all centers will have a telephone/web‐based startmeeting with presentation of the study, study procedures and documentation. The firstvisit at site will be when the center has included some patients into the study. Duringthe study period, monitors will have regular contact with the participating departmentsto ensure that the trial is conducted in compliance with the protocol and applicableregulatory requirements. The monitors will also provide information and support to theinvestigator(s). The monitors will review source documents for verification ofconsistency with the study data recorded in case report forms according to risk basedmonitoring. Investigators and other responsible personnel must be available during themonitoring visits, possible audits and inspections and should devote sufficient time tothese processes. Patient recruitment status is continuous (updated every 24 hours onweekdays).Reporting for adverse events: Registration of adverse events will start after informedconsent and when treatment with study medication has been given and continue until thepatient leaves the hospital after the CABG. The patients will be informed to contact theinvestigator or study nurse if any adverse event should occur during this timeframe.Reporting procedures for Adverse Events and Serious Adverse Events: Only adverse eventsand serious adverse events that are not considered as signs and symptoms expected andrelated to CABG or known side effects from the study drug will be reported in this study.Events defined as endpoints in the study (e.g. all‐cause death, stroke, new onset heartfailure) will not be reported as adverse events. This means that other clinical signs andsymptoms, which are reported by the patient and observed by the investigator, and in theopinion of the investigator are unexpected in relation to actual diagnosis, will bereported.SUSAR reporting procedure: If the responsible investigator judges the SAE as beingdrug‐related and unexpected the event must be reported to the sponsor within one workingday. The documentation will be on a CIOMS form(http://www.cioms.ch/index.php/cioms‐form‐i). The sponsor is then responsible forreporting SUSAR to the regulatory authorities and ethics committee. The sponsor is alsoresponsible for information to all involved investigators in the study.A SUSAR resulting in death or judged as life threatening must be reported to regulatoryauthorities and ethics committee within 7 days after the sponsor has been notified aboutthe event. A full report must be sent to the authorities within 15 days.A SUSAR which is not resulting in death or is life threatening has to be reported toregulatory authorities and ethics committee within 15 days after the sponsor has beennotified about the event. A full report has to be sent to the authorities as soon aspossible.Annual report: A safety report, including assessment of overall safety and all reportedSUSARs will be submitted yearly to the Regulatory Authorities and if requested to theEthics Committee.Sample size: We assumed an incidence of post‐operative AF of 22% in the control group andof 14% in the SGLT2 inhibitor group (a 36% relative decrease). With a power of 80% andalpha of 5%, a total of 361 subjects completing the trial in each of the two groups arerequired. To account for drop‐outs, 400 subjects will be randomly assigned to each of thetwo groups.Statistical analyses: All results will be reported and analyzed according to theintention‐to‐treat principle. Baseline characteristics will be reported by randomizedtreatment and overall. For continuous variables, we will report the frequency, mean andstandard deviation, or median and interquartile range, as appropriate. For binary orcategorical variables, the frequency and percentage will be reported. The number ofmissing values, if any, will be reported. The disposition of subjects in the trial,including the number randomized, the number lost to follow‐up/withdrawn, and the numberof subjects at each follow‐up visit will be summarized in a CONSORT figure. For binaryoutcomes, we will report the number and percentage of subjects with the outcome byrandomized group. A risk ratio and 95% confidence interval (CI) will be calculated andreported along with the corresponding p value from a chi‐squared test or Fisher´s exacttest, as appropriate. These include: incidence of AF before hospital discharge (primaryendpoint); AKI before hospital discharge (key secondary endpoint); in‐hospital all‐causemortality, and stroke, new onset heart failure, ventricular arrhythmia, electricalcardioversion for AF, and use of amiodarone for AF; 12‐month dialysis treatment; reportedAEs, SAEs, and SUSARs at one week post‐discharge (safety endpoint). For continuousoutcomes, we will report the frequency, mean, and standard error of the change frombaseline by randomized group. The between‐group difference in mean change from baselineand 95% CI will be estimated using a linear regression model including the baseline valueand randomized treatment as covariates in the model. If the change from baseline is foundto seriously violate the required assumption of normality, an appropriate transformationmay be applied. These include: change in cardiac and inflammatory biomarkers frombaseline to three days after CABG surgery, and change in HbA1c from baseline to threedays after CABG surgery. For time‐to‐event outcomes, the number of subjects with theevent and the cumulative percentage (estimated using the Kaplan‐Meier method) will bereported by randomized group. Hazard ratios and 95% CIs will be estimated using a Coxproportional hazards model with randomized treatment included as the only covariate inthe model, and a p value estimated using a log‐rank test. These include: 30‐day and12‐month all‐cause mortality; 12‐month myocardial infarction; 12‐month stroke; 12‐monthhospital admission for AF or heart failure. The length of intensive care unit andhospital stay endpoint will be summarized by randomized group using the median andinterquartile range. Geometric mean differences and 95% CIs will be estimated usingPoisson or negative binomial regression models, as appropriate, including randomizedtreatment as a covariate in the model. Two‐sided statistical significance levels of 5%will be used and all estimates will be presented with 95% confidence intervals. Toaccount for the stratified randomization, the primary and key secondary endpoint analyseswill be stratified by site.Full detail of the statistical analysis will be described in a statistical analysis plan,which will be completed and signed before the final trial database is locked andunblinded. Any changes to the statistical analysis plan will be documented in amendmentsto the statistical analysis plan and will be signed off before the database is finalizedand unblinded.Interim Safety Analysis: A maximum of three months following inclusion of the first 100patients an independent endpoint committee will monitor study endpoints. Variables to beassessed are all‐cause death, AKI, dialysis, new onset AF, heart failure, and diabeticketoacidosis. Premature termination of the study will be mandated in the event that oneof the treatment strategies shows statistically significance at the 0.001 alpha level forthe composite of the above variables.</x:t>
  </x:si>
  <x:si>
    <x:t xml:space="preserve">NCT05852704,</x:t>
  </x:si>
  <x:si>
    <x:t xml:space="preserve">https://clinicaltrials.gov/ct2/show/NCT05852704</x:t>
  </x:si>
  <x:si>
    <x:t xml:space="preserve">10.1002/central/cn-02560088/full</x:t>
  </x:si>
  <x:si>
    <x:t xml:space="preserve">https://www.cochranelibrary.com/central/doi/10.1002/central/CN-02560088/full</x:t>
  </x:si>
  <x:si>
    <x:t xml:space="preserve">SCR_000053</x:t>
  </x:si>
  <x:si>
    <x:t xml:space="preserve">Surgery-related Heart Injury Evaluation: limiting Damage (SHIELD) Pilot</x:t>
  </x:si>
  <x:si>
    <x:t xml:space="preserve">INTERVENTION: Sodium‐Glucose Cotransporter‐2 inhibitor (SGLT2i), Dapagliflozin (FORXIGA; 10 mg) daily oral tablet for 6 months CONDITION: Cardiovascular ‐ Coronary heart disease Cardiovascular ‐ Diseases of the vasculature and circulation including the lymphatic system Cardiovascular Health; ; Cardiovascular Health INCLUSION CRITERIA: • Aged 45 years or older • Able to speak, read, and/or understand English • Undergone one (or more) major non‐cardiac surgery/ies (Appendi X1) • Sustained MINS as evidenced by a 24 hour postoperative troponin level exceeding the established prognostically significant threshold for the assay • Resumed normal oral diet • Provide written informed consent before enrolment • Able to be randomised within 14 days of meeting MINS criteria • Treating surgeon agrees that the patient is suitable for randomisation (neither requires intervention/surgery nor have any contraindication to intervention) • Local investigator agrees that the patient is suitable for randomisation PRIMARY OUTCOME: Evaluation and refinement of data collection procedures and outcome measures a composite outcome.[Number of missing (or unusable) data points per participant determined by an audit of case report files ; Time taken to complete data collection (via site survey designed specifically for this study) and entry (as recorded on REDCap); ; Free text feedback from study site investigators regarding assessments or data collection procedures (via site survey designed specifically for this study) Monthly assessments for six months of active recruitment at each site.] Evaluation of recruitment capability and sample characteristics assessed as a composite outcome.[Data to be collected from screening logs and audit of study recruitment records; ; 1) Absolute numbers screened and enrolled over each month ; 2) Average time delay from screening to enrolment (per participant) ; Organisational or professional reasons for failure to recruit to be collected by survey to site investigators. ; 3) Average time delay from screening to commencement of study medication (per enrolled participant); ; 4) Proportion of approached eligible participants who are enrolled/randomised; ; 5) Criterion resulting in exclusion ranked by frequency; ; 6) Participant refusal reasoning ranked by frequency; ; Research staff feedback regarding the clarity and conciseness of eligibility criteria; ; 7) Organisational or professional reasons for failure to recruit Monthly assessments for six months of active recruitment at each site.] Evaluation of the acceptability and suitability of the intervention and study procedures as a composite outcome.[Proportion of randomised participants who ‘drop out’ or are lost to follow‐up determined by audit of participant withdrawal logs and case report files; ; Rates of participant reported compliance with study drug (&gt;70% compliance) as per protocol (at one month and six months) as reported via participant survey and pharmacist audit of returned unused study drug.; Free text feedback to review commonly reported reasons for drop out or non‐adherence via participant survey designed specifically for this study. Monthly assessments for six months of active recruitment at each site.] SECONDARY OUTCOME: This is an additional primary outcome. ; Evaluation of the resources and ability to manage and implement the study and intervention as a composite outcome.[Average time required per patient randomised overall and based on research team roles (Principal Investigator, Research Coordinator etc.); Summary of free text feedback from the eCRF to identify inefficiencies or issues; Database validation and user acceptance testing. Study completion at 6 months post final patient enrolment at site.] This is an additional primary outcome. ; Monitoring of safety and adverse event endpoints for the Factor 1 (DAPT) arm of the trial as a composite incidence of significant bleeding complications. ; [Significant bleeding complication, e.g. life‐threatening, major or critical organ bleeding self‐reported by automated patient surveys which will trigger phone follow‐up by research staff for management and source document collection. Two weeks, 3 months and 6 months post commencement of trial drug. From first patient enrolled until final patient completes 6 months of study drug administration.] This is an additional primary outcome. ; Monitoring of safety and adverse event endpoints for the Factor 2 (SGLT2i) arm of the trial as a composite of known side‐effects for the drug class.[Urinary tract infections (overall and sex‐specific), genital infections (overall and sex‐specific), acute kidney injury or dehydration, ketoacidosis (overall and separately by baseline diabetes status), lower limb amputations (overall and by level), bone fractures (overall, separately by site and aetiology), severe hypoglycaemia (low blood sugar causing impaired level of consciousness and requiring assistance from another person for recovery), symptomatic dehydration (postural dizziness, pre‐/syncope), and hospitalisation by specific cause collected by automated patient surveys which will trigger phone follow‐up by research staff for management and source document collection. Two weeks, 3 months and 6 months post commencement of trial drug. From first patient enrolled until final patient completes 6 months of study drug administration.]</x:t>
  </x:si>
  <x:si>
    <x:t xml:space="preserve">ACTRN12625000146493,</x:t>
  </x:si>
  <x:si>
    <x:t xml:space="preserve">https://trialsearch.who.int/Trial2.aspx?TrialID=ACTRN12625000146493</x:t>
  </x:si>
  <x:si>
    <x:t xml:space="preserve">10.1002/central/cn-02810322/full</x:t>
  </x:si>
  <x:si>
    <x:t xml:space="preserve">https://www.cochranelibrary.com/central/doi/10.1002/central/CN-02810322/full</x:t>
  </x:si>
  <x:si>
    <x:t xml:space="preserve">SCR_000054</x:t>
  </x:si>
  <x:si>
    <x:t xml:space="preserve">Telemonitoring to Optimize Medication Titration for Heart Failure: a Feasibility Study</x:t>
  </x:si>
  <x:si>
    <x:t xml:space="preserve">Optimal and aggressive titration of guideline‐directed medical therapy (GDMT) is thecornerstone of heart failure (HF) management to reduce HF related hospitalization andimprove patient survival1. However, the percentage of patient achieving targeted dose ofGDMT in real‐world setting is consistently low across different regions2,3,4. Failure toachieve targeted dose of GDMT has been a main factor contributing to the high mortalityof HF patients1. A major hurdle to up‐titration of GDMT is the therapeutic inertia5 onthe part of the treatment providers partly due to safety concerns for these medicationnamely symptomatic hypotension and bradycardia. The safety concern is especially great inpatients with acute decompensated HF in whom fluctuation in hemodynamic can besubstantial. Therefore, the major challenge in HF care is the attainment of optimal doseof GDMT without increasing serious adverse effect to the patients. Two approaches topatient care have been proposed to overcome this challenge. Patients can be either keptinpatient for medication up‐titration5,6 or followed up by intensive outpatient clinicvisits. Recently the STRONG‐HF study has demonstrated the feasibility of rapidup‐titration of GDMT through frequent outpatient clinic visits7. However, neither ofthese approaches is feasible in the local setting given the severe hospital bed andhealthcare manpower shortage in Hong Kong public healthcare system. Remote monitoring(RM) has been used in chronic HF patients with aims to reduce clinic visits and improveHF care but has not been demonstrated uniformly beneficial in various studies9,10,11.Large part of the lack of benefit of RM in these clinical trials might be attributed topoor adherence to devices usage in the long term (50% of adherence) and a lack of aclearly defined actionable plan to the data received. Since then, significant advancementhas been made in wireless and wearable technologies. Continuous monitoring and automatictransmission of patient hemodynamic data may mitigate the non‐adherence issues of RM. Asonly a finite period of medication titration is generally required to achieve maximumtolerated dose of GDMT in HF patients, RM potentially may play a role in facilitatingrapid medication up‐titration and maximizing healthcare resources utilization during theinitial phase of acute HF care.Aims and Hypotheses to be Tested:Study question: Can ambulatory telemonitoring improve and optimize guideline‐directedmedical therapy (GDMT) in patients with acute heart failure?Study hypothesis: Telemonitoring can yield more efficient up‐titration of GDMT totargeted dose in patients with acute heart failure than routine physical clinic visit.Study aims: 1. to compare the percentage of targeted GDMT dose attainment in patients subjected tointensive medication up‐titration guided by integrated telemonitoring againstpatients in routine medical care. 2. To evaluate the feasibility and safety of aggressive GDMT titration as guided bytelemonitoring. 3. To evaluate the adherence and acceptance of modern commercially available wirelesstelemonitoring devices in HF patients. 4. To evaluate the impact of wearable telemonitoring on the quality of life of HFpatients 5. To assess the role of different parameters and components from telemonitoring inpredicting HF decompensation and adverse events from medications.Plan of Investigation:This is a prospective, open‐labelled, single‐centre, randomized controlled trialcomparing telemonitoring (intervention) in patients with acute heart failure (HF) withroutine clinical care (control). Eligible patient will be recruited primarily from Princeof Wales Hospital by both the Cardiologists and Internal Medicine physicians.(i) Subjects (with justification on the sample size)The target patients are those aged &gt;18, who are hospitalized for first episode of acutedecompensate heart failure, which is defined by all of the following criteria: 1. Clinical symptoms of Dyspnoea (exertional or at rest) and 1 of the following signs: ‐ Congestion on chest X‐ray ‐ Rales on chest auscultation ‐ Clinically relevant oedema (e.g. ≥1+ on a 0 to 3+ scale) ‐ Elevated jugular venous pressure. 2. NT‐proBNP which is measured within the same hospitalization with level &gt;300ng/L or600ng/L if ongoing atrial fibrillation/atrial flutter. 3. Left ventricular ejection fraction less than 40% by any form of imaging.Exclusion criteria: 1. Documented history of HF with previous HF admission. 2. Current hospitalization for acute HF primarily triggered by pulmonary embolism,cerebrovascular accident, or acute MI. 3. Cardiac interventions (listed below) in past 30 days prior or planned during thestudy period. 1. Major cardiac surgery, or Tran Aortic Valve Implantation, or Percutaneous Coronary Intervention, or MitraClip 2. Current or expected heart transplant, LVAD, IABP, or patients with planned inotropic support in an outpatient setting. 4. Haemodynamically severe uncorrected primary cardiac valvular disease. 5. eGFR &lt;30 mL/min/1.73m2 as measured during index hospitalization (latest measurementbefore randomization) or patients requiring dialysis. 6. Documented allergy or intolerance to beta‐blocker, renin‐angiotensin‐aldosteronesystem inhibitor, mineralocortical receptor antagonist, or angiotensinreceptor/neprilysin inhibitor. 7. Pregnant or nursing women. 8. Psychiatric or severe neurological disorder, cirrhosis, or active malignancy leadingto a life expectancy &lt; 6 months. 9. Non‐ambulatory patients. 10. Patients who are unable to operate simple electronic devices; or unable to assess amobile network service in the place of residence. 11. Patients who are unable to given written informed consent.Sample size calculation:From previous HF registry conducted at local sites and from previous published data fromthe same locality, the percentage of GDMT use in HF patients under routine care is around20%. Assuming the percentage of targeted dose GDMT attainment to be 50% in theintervention arm7, an estimate of 56 patients with 28 in each arm is needed to show asignificant difference between two groups, with a 5% significance level and 80% power.Assuming the drop‐out rate to be 30%, a total of 80 patients with 40 patients in each armwill be required.(ii) Methods The study will be conducted according to the Declaration of Helsinki andcomply with ICH‐GCP. Institutional Ethics approval will be obtained, and the trial willbe registered at Clinicaltrials.gov before the start of this study. Subjects will berecruited from Prince of Wales Hospital medical inpatient units. Written informed consentwill be taken from each recruited subject. Patients meeting eligibility criteria will berandomized via a freely accessible interactive web response system(www.randomization.com) to one of the two study arms in a 1:1 ratio, according to acentral randomization scheme.After recruitment, baseline information including patient's demographics, past medicalhistory, discharge medication history, baseline laboratory, and baseline echocardiographywill be collected.As a background CHF treatment, one of the Sodium‐glucose Cotransporter 2 (SGLT2)Inhibitor either Empagliflozin 10mg daily or Dapagliflozin 10mg daily will be startedbefore discharge as this class of drug does not require any dose up‐titration12,13. Otherclasses of HF drug such as beta‐blocker (BB), mineralocortical receptor antagonist (MRA),or angiotensin receptor/neprilysin inhibitor (ARNI) will be initiated and titrated byphysicians during the index admission according to their clinical judgement beforedischarge.(iii) Study design This is a prospective, open‐labelled, single‐centre, randomizedcontrolled trial consisting of an intervention group and a control group. A physicalclinic visit with cardiologist consultation will be scheduled for both groups every 30days with blood testing for NT‐proBNP and renal function until 90 days. At 90 days, afollow‐up echocardiogram will be performed for both groups of patients with the primaryaim of left ventricular function evaluation. The follow‐up period for both groups is 90days. The proposed study duration is 24 months.Intervention group Patients randomized to the intervention group will be taught how tooperate individual devices of telemonitoring before discharge by the research team. 30days of all three classes medication up to the targeted dose (as listed below) will begiven to the patient with clear labelling and instructions on their administration. Pillsof minimal dosage will be provided for easier patient communication and dosage titration.Medication up‐titration will be performed over the phone by a senior research nurseaccording to algorithms as listed below. Patients will also be asked during each phonecall regarding the occurrence of any adverse event.The integrated telemonitoring consists of 1. a wearable wrist heart rate and activitymonitor, 2.a blue‐tooth enabled body weight scale with bioimpedance analysis, and 3. ablue‐tooth enabled electronic blood pressure device. 1. Wearable wrist heart rate and activity monitor: A commercially available smart watchcapable of continuous monitoring of heart rate and activities including daily stepscount and daily activity level, detection of arrythmia using a proprietary FDAapproved algorithm14, and measuring peripheral capillary oxygen saturation will beprovided to the patient. Patients will be encouraged to wear the watch as often aspossible during daytime and during sleep. Data gathered will be automaticallytransmitted wirelessly to a cloud‐based platform provided by the manufactureraccessible only by the research team and the patient. 2. Bluetooth enabled body weight scale with bioimpedance analysis: An electronic scalewhich measures bioimpedance using bioelectrical analysis from foot‐to‐foot impedanceand body fluid percentage (BF%) using a proprietary equation15,16 will be providedto the patients. Patient will be encouraged to measure their bodyweight (BW) andbioimpedance twice per day, one in the morning, and one before bath, with minimalclothing. Both data will be automatically transmitted wirelessly to a cloud‐basedplatform provided by the manufacturer accessible only by the research team and thepatients. 3. Bluetooth enabled electronic blood pressure device: An electronic cuffed arm bloodpressure monitor will be provided to the patient with instruction on how to performproper blood pressure measurement at home16. Patients are encouraged to take atleast 2 blood pressure reading daily, one in the morning and one in the evening.Blood pressure reading will be transmitted wirelessly to an online platform providedby the manufacturer accessible only by the research team and the patients.Uploaded hemodynamic and biological data will be reviewed by the research team on a dailybasis.Medication up‐titration schemeUp‐titration of medication will be performed over the phone every 3 days by a seniorresearch nurse until the maximum tolerated dose is reached. In patient in whom any 1 ofthe 3 classes of GDMT has not been started upon discharge, the starting dose of themissing class of GDMT will be started first. In patient in whom none of the GDMT has beenstarted upon discharge, the medication will be started with the starting dose as listedin the sequence of MRA ‐&gt; BB ‐&gt; ARNI. In patient in whom all 3 classes of GDMT has beenstarted upon discharge, the sequence of medication titration is as followed: MRA ‐&gt; BB ‐&gt;ARNI, with aim of up‐titration to the maximum dose of 1 class followed by the next class.This approach has been evaluated in a simulated model to be the most effective inreducing HF related hospitalization18. The maximum dose is defined by the suggestedtarget dose1 (as listed below) or the maximum tolerated dose without side effect,whichever is higher. The next escalating dose of any class will not be initiated ifsystolic blood pressure is less than 90mmHg. Additionally, the next escalating dose ofARNI or MRA will not be initiated if weekly blood test showed serum potassium greaterthan 5.5mmol/L, or if estimated GFR &lt;30ml/min/1.73m2, or if serum creatinine level riseabove 30% over baseline. Also, the next escalating dose of BB will not be initiated ifsystolic blood pressure is less than 90mmHg or if the lowest heart rate on the 24 hoursmonitor is less than 40 beat/min or the average heart rate is less than 55 beat/min. Ifany severe adverse event is encountered after up‐titration of medication dose, patientwill be instructed to fall back on the previous dose. If the adverse event resolved onthe next up‐titration schedule, patient will be instructed to up‐titrate the previousdrug dose again. If similar adverse event arises again, then the previous dose will beconsidered the maximum tolerated dose. The suggested medications starting and target dosefor each individual class of GDMT are as followed1: 1. Mineralocortical receptor antagonist ‐ Eplerenone starting dose 25mg daily with 25mgdaily increment until target dose of 50mg daily; Spironolactone starting dose 25mgdaily with 25mg daily increment until target dose of 50mg daily. 2. Beta‐blocker: Bisoprolol starting dose 1.25mg daily with 1.25mg daily incrementuntil target dose of 10mg daily; Carvedilol starting dose 3.125mg twice daily with3.125mg twice daily increment until target dose of 25mg twice daily; Metoprololsuccinate starting dose 25mg daily with 25mg daily increment until target dose of200mg daily. 3. Angiotensin receptor/neprilysin inhibitor ‐ Sacubitril/valsartan starting dose 24/26mg twice daily with 24/26 mg twice daily increment until target dose of 97/103 mgtwice daily.Blood checking for renal function, electrolytes and Point‐of‐care NT‐proBNP will beperformed weekly during the medication up‐titration period for safety reason until themaximum dose is reached.Control Group Patient will be seen at clinic for physician consultation every 30 daysafter discharge as per current practice until the end of follow‐up which is at 90 days.Guidance on medication up‐titration similar to intervention group will be provided to thephysician. Medication titration will be performed during clinic consultation at thephysician's discretion.Outcomes Primary outcomes: Percentage of patients receiving target dose of individualclass of GDMT which is defined as above1 at 90 days.Secondary outcomes: ‐ Wearable device and monitoring adherence in the intervention group. ‐ Difference in New York Heart Association (NYHA) functional class, 6 minutes' walktest, heart failure related quality of life measure (by EQ‐5D questionnaire) at 90days. ‐ Difference in NT‐proBNP level at 90 days. ‐ Unscheduled medical visit. ‐ HF related Hospitalization. ‐ HF related mortality and all‐cause mortality. Safety outcomes: Occurrence of anySerious Adverse Event which is defined as ‐ fatal or life‐threatening events, ‐ resulting in persistent or significant disability/incapacity ‐ requiring inpatient hospitalization or prolongation of existing hospitalization, ‐ being medically significant, i.e. defined as an event that jeopardizes the patientor may require medical or surgical intervention to prevent one of the outcomeslisted above.Data processing and analysis All data were reported as mean ± SD unless otherwisespecified. Following the intent‐to‐treat principle, patients will be analyzed accordingto the arm to which they were assigned. The primary outcome, difference in the percentageof patients receiving targe dose of individual class of GDMT at 90 days will be comparedbetween the two groups using unpaired Student t‐test. Other parameters and outcomes willbe compared between baseline and at 90 days, as well as between the 2 groups. Student's ttest and Mann‐Whitney U test will be used for continuous variables while Chi‐squared testand Fisher's exact test will be used to compare categorical variables, where appropriate.Two groups will be compared with respect to the change in NT‐proBNP level at baseline andat 90‐days using ANCOVA with the baseline value and randomization stratification factorsas covariates. Central laboratory measures of NT‐proBNP will be log‐transformed for thisanalysis. All tests were two‐sided, with significance set at 5%.Additionally, a cost‐effective analysis will be performed on the total cost incurred inboth groups and incremental cost‐effectiveness ratio expressed as incremental cost perhospitalization avoided at day 0, day 15, day 30, and day 90, based on data from thestimulated model18 will be calculated. All cost data will be expressed in Hong Kongdollar and valued on the starting date of the study from a healthcare system perspective(i.e., all the medical costs will be valued on the basis of non‐subsidized cost). Theaverage cost difference between the intervention and control groups will be used toderive the incremental total cost (or total cost saved). All statistical analyses will beperformed using STATA version 15 software (College Station, TX, USA).</x:t>
  </x:si>
  <x:si>
    <x:t xml:space="preserve">NCT07016815,</x:t>
  </x:si>
  <x:si>
    <x:t xml:space="preserve">https://clinicaltrials.gov/ct2/show/NCT07016815</x:t>
  </x:si>
  <x:si>
    <x:t xml:space="preserve">10.1002/central/cn-02871495/full</x:t>
  </x:si>
  <x:si>
    <x:t xml:space="preserve">https://www.cochranelibrary.com/central/doi/10.1002/central/CN-02871495/full</x:t>
  </x:si>
  <x:si>
    <x:t xml:space="preserve">SCR_000055</x:t>
  </x:si>
  <x:si>
    <x:t xml:space="preserve">SOdium-glucose CO-transporter inhibition in patients with Type 2 Diabetes and Ischemic Heart Failure</x:t>
  </x:si>
  <x:si>
    <x:t xml:space="preserve">INTERVENTION: Trade Name: Jardiance Pharmaceutical Form: Film‐coated tablet Pharmaceutical form of the placebo: Tablet Route of administration of the placebo: Oral use Pharmaceutical form of the placebo: Film‐coated tablet Route of administration of the placebo: Oral use CONDITION: Patients with type 2 diabetes mellitus and heart failure of ischemic origin Therapeutic area: Diseases [C] ‐ Cardiovascular Diseases [C14] PRIMARY OUTCOME: Main Objective: To test the hypothesis that empagliflozin (Jardiance™) 25 mg once daily for four months improves myocardial function, structure and coronary flow reserve measured by means of cardiac magnetic resonance in patients with T2DM and HF of ischemic origin. Primary end point(s): Primary endpoints are; 1. Improvement in LV systolic and diastolic function (an increase in LV ejection fraction, a reduction in LV filling pressures and a decrease in the LV end diastolic volume) measured by cardiovascular magnetic resonance (CMR) and echocardiography; 2. An increase in coronary flow reserve measured by rest/adenosine coronary sinus phase contrast flow and rest/adenosine quantitative first pass myocardial perfusion; 3. Decrease in the left ventricular end‐diastolic volume and myocardial extracellular volume (ECV); Secondary Objective: Not applicable Timepoint(s) of evaluation of this end point: After 4 months on active treatment SECONDARY OUTCOME: Secondary end point(s): 1. Reduction in the NT‐pro BNP levels ; 2. Changes in blood volume evaluated by Hematocrit, Hb and radiolabelled albumin ; 3. Improvement in endothelial function ; 4. Decrease in arterial stiffness ; 5. Reduction of expressions of inflammatory activation and oxidative stress ; 6. Hospitalizations for HF ; Timepoint(s) of evaluation of this end point: After 4 months on active treatment INCLUSION CRITERIA: 1. Age = 18 years 2. Known T2DM (according to current WHO criteria) with HbA1c 48‐86 mmol/mol (DCCT 5.6‐10%; [57]). 3. Chronic HF of ischemic origin (established according to current European Guidelines; Ischemic etiology defined as history of myocardial infarction given by typical ECG‐changes (Q‐wave or LBBB), previous PCI or CABG, symptoms typical of angina pectoris with coronary artery disease verified by an exercise test, non‐invasive imaging or coronary angiography, since at least two months [58]. 4. Signed informed consent to trial participation consistent with ICH‐GCP guidelines and local legislations Are the trial subjects under 18? no Number of subjects for this age range: F.1.2 Adults (18‐64 years) no F.1.2.1 Number of subjects for this age range F.1.3 Elderly (&gt;=65 years) yes F.1.3.1 Number of subjects for this age range 50</x:t>
  </x:si>
  <x:si>
    <x:t xml:space="preserve">EUCTR2015-005715-32-SE,</x:t>
  </x:si>
  <x:si>
    <x:t xml:space="preserve">https://trialsearch.who.int/Trial2.aspx?TrialID=EUCTR2015-005715-32-SE</x:t>
  </x:si>
  <x:si>
    <x:t xml:space="preserve">10.1002/central/cn-02067554/full</x:t>
  </x:si>
  <x:si>
    <x:t xml:space="preserve">https://www.cochranelibrary.com/central/doi/10.1002/central/CN-02067554/full</x:t>
  </x:si>
  <x:si>
    <x:t xml:space="preserve">SCR_000056</x:t>
  </x:si>
  <x:si>
    <x:t xml:space="preserve">Embase</x:t>
  </x:si>
  <x:si>
    <x:t xml:space="preserve">Mental health sequelae and management in survivors of cardiogenic shock: a nationwide population-based study</x:t>
  </x:si>
  <x:si>
    <x:t xml:space="preserve">Background: This study aimed to evaluate the incidence of new-onset mental disorders after cardiogenic shock (CS) and their association with long-term clinical outcomes, and to examine whether the use of psychiatric medications following diagnosis is associated with improved prognosis. Methods: A nationwide population-based cohort study was performed using the Korean National Health Insurance Service database. All adult patients who were admitted to intensive care units (ICUs) for CS between January 2012 and December 2022 and survived hospital discharge were recruited. Patients with pre-existing psychiatric diagnoses were excluded, Finally, 112,297 patients were included in the current cohort. The primary analysis assessed the association between new-onset psychiatric disorders after hospital discharge and long-term clinical outcomes among survivors of CS, with the onset of newly developed mental disorders treated as a time-varying variable. Among patients diagnosed with a psychiatric disorder, a secondary analysis assessed the association between psychiatric medication use including antidepressants, antipsychotics, anxiolytics, or sedative-hypnotics and clinical outcomes. Medication use was also modeled as a time-varying covariate. The primary endpoint was a composite of all-cause death, myocardial infarction, stroke, coronary revascularization, or heart failure hospitalization. Results: During the median follow-up of 3.5 years (interquartile range: 1.26–6.56), 11,166 CS survivors (9.9%) developed new-onset mental disorders (including depressive disorder, insomnia, anxiety disorder, and schizophrenia spectrum disorder). These disorders were associated with a significantly increased risk of primary endpoint (adjusted-HR:1.08, 95%CI:1.04–1.13), except anxiety disorders. Among patients with mental disorders, initiation of medication for mental disorders was associated with a 44% reduction in the primary endpoint (adjusted-HR:0.56, 95%CI:0.53–0.59) and a 49% reduction in all-cause death (adjusted-HR:0.51, 95%CI:0.48–0.55). Conclusions: New-onset mental disorders are common and prognostically significant in survivors of CS. Timely pharmacologic intervention for mental disorders may substantially improve long-term clinical outcomes and should be integrated into post-ICU care pathways.</x:t>
  </x:si>
  <x:si>
    <x:t xml:space="preserve">Choi, K.H.; Seo, J.; Cha, J.H.; Park, T.; Park, T.K.; Lee, J.M.; Song, Y.B.; Hahn, J.-Y.; Choi, S.-H.; Gwon, H.-C.; Cho, J.; Kang, D.; Yang, J.H.</x:t>
  </x:si>
  <x:si>
    <x:t xml:space="preserve">Crit. Care</x:t>
  </x:si>
  <x:si>
    <x:t xml:space="preserve">10.1186/s13054-026-05841-0</x:t>
  </x:si>
  <x:si>
    <x:t xml:space="preserve">JOUR; Article</x:t>
  </x:si>
  <x:si>
    <x:t xml:space="preserve">English</x:t>
  </x:si>
  <x:si>
    <x:t xml:space="preserve">https://www.embase.com/search/results?subaction=viewrecord&amp;id=L2043203666&amp;from=export</x:t>
  </x:si>
  <x:si>
    <x:t xml:space="preserve">SCR_000057</x:t>
  </x:si>
  <x:si>
    <x:t xml:space="preserve">Cardiovascular and renal outcomes of sodium–glucose cotransporter-2 versus dipeptidyl peptidase-4 inhibitors in patients with type 2 diabetes post-PCI: a meta-analysis of 14,511 patients</x:t>
  </x:si>
  <x:si>
    <x:t xml:space="preserve">Background: Patients with type 2 diabetes mellitus (T2DM) undergoing percutaneous coronary intervention (PCI) are at high risk of adverse cardiovascular and renal outcomes. While both sodium–glucose cotransporter-2 inhibitors (SGLT-2i) and dipeptidyl peptidase-4 inhibitors (DPP-4i) are widely used in this population, direct evidence comparing their long-term efficacy and safety after PCI remains scarce. This meta-analysis aimed to compare cardiovascular and renal outcomes between SGLT-2i and DPP-4i in patients with T2DM post-PCI. Methods: PubMed, Web of Science, Scopus, and Cochrane CENTRAL were searched through June 2025. Primary outcomes were all-cause mortality, worsening renal function, and heart failure. We included primary studies and assessed the quality of studies using Newcastle Ottawa Scale. RevMan software was used to calculate hazard ratios (HR) estimates and 95% confidence intervals (CI) using the random-effects model. Results: We analyzed the outcomes between SGLT-2i (n = 7,025 patients) and DPP-4i (n = 7,459 patients). The mean age was 62.7 years, and 77.4% were males. SGLT-2i significantly reduced all-cause mortality (HR = 0.65; 95% CI: 0.54–0.79; P &lt; 0.001) and the risk of worsening renal function (HR = 0.15; 95% CI: 0.09–0.26; P &lt; 0.001). They also demonstrated a significant reduction in heart failure events (HR = 0.59; 95% CI: 0.48–0.74; P &lt; 0.001). For myocardial infarction, a non-significant trend toward risk reduction with SGLT-2i was observed (HR = 0.85; 95% CI: 0.72–1.02; P = 0.08). For cerebrovascular accidents and the need for repeat revascularization (PCI/CABG), no significant difference was observed. Conclusion: SGLT-2i demonstrates more clinical benefits, and current evidence supports its initiation over DPP-4i in T2DM patients after PCI.</x:t>
  </x:si>
  <x:si>
    <x:t xml:space="preserve">Badran, A.S.; Gbreel, M.I.; Tawfik, A.M.; Balata, M.</x:t>
  </x:si>
  <x:si>
    <x:t xml:space="preserve">Diabetol. Metab. Syndr.</x:t>
  </x:si>
  <x:si>
    <x:t xml:space="preserve">10.1186/s13098-025-02080-1</x:t>
  </x:si>
  <x:si>
    <x:t xml:space="preserve">https://www.embase.com/search/results?subaction=viewrecord&amp;id=L2043206645&amp;from=export</x:t>
  </x:si>
  <x:si>
    <x:t xml:space="preserve">SCR_000058</x:t>
  </x:si>
  <x:si>
    <x:t xml:space="preserve">Delayed bioprosthetic valve thrombosis after transcatheter aortic valve implantation in a patient with severe left ventricular diastolic dysfunction: A case report</x:t>
  </x:si>
  <x:si>
    <x:t xml:space="preserve">A 78-year-old female developed symptomatic bioprosthetic valve thrombosis 32 months post-transapical TAVI, despite 6-month warfarin therapy. Echocardiography showed severe hemodynamic compromise with left ventricular remodeling and diastolic dysfunction. CT-confirmed thrombosis resolved after warfarin intensification and cardiac optimization, achieving mean gradient reduction to 17 mmHg within 8 weeks. This highlights the association between delayed thrombosis, ventricular remodeling, and subtherapeutic anticoagulation.</x:t>
  </x:si>
  <x:si>
    <x:t xml:space="preserve">Yuan, S.; Li, J.; Mou, Y.; Ni, Y.</x:t>
  </x:si>
  <x:si>
    <x:t xml:space="preserve">BMC Cardiovasc. Disord.</x:t>
  </x:si>
  <x:si>
    <x:t xml:space="preserve">10.1186/s12872-026-05538-w</x:t>
  </x:si>
  <x:si>
    <x:t xml:space="preserve">https://www.embase.com/search/results?subaction=viewrecord&amp;id=L2043263317&amp;from=export</x:t>
  </x:si>
  <x:si>
    <x:t xml:space="preserve">SCR_000059</x:t>
  </x:si>
  <x:si>
    <x:t xml:space="preserve">Initiation of peri-operative SGLT2 inhibitor reduces mortality and cardiovascular events after surgical aortic valve replacement</x:t>
  </x:si>
  <x:si>
    <x:t xml:space="preserve">Background: SGLT2 inhibitors (SGLT2i) demonstrate cardiovascular advantages for patients with heart failure and chronic kidney disease, especially in transcatheter aortic valve replacement. However, no studies have evaluated their perioperative use in surgical aortic valve replacement (SAVR). We examined the association between preoperative initiation of SGLT2i and measured the 1-year postoperative SAVR outcomes. We performed a retrospective analysis using de-identified patient data from the TriNetX Research Network database. Adults who underwent SAVR with first-time SGLT2i use within 1 month preoperatively were compared to a matched group of non-users with no prior history of SGLT2i therapy. Using 1:1 propensity score matching, adjusting for demographics, BMI categories, comorbidities, labs, and medications, we examined primary outcomes of 1-year all-cause mortality and major adverse cardiovascular events (MACE). Results: After propensity score matching (Table 1), our study included 440 patients per group. Baseline characteristics were well balanced post-matching, with a few exceptions. SGLT2i initiation was associated with significantly lower all-cause mortality at 1 year following SAVR (5.9% vs. 12.3%; OR 0.45, 95% CI 0.28–0.73; p = 0.001) but not with MACE (OR 0.73, 95% CI 0.51–1.03; p = 0.075), cerebral infarction, atrial fibrillation/flutter, or hospital readmission. There were no statistically significant differences in the odds of MI, VT, or SGLT2i-associated complications such as AKI or UTI (Table 2). Conclusions: Preoperative initiation of SGLT2i in SAVR patients was associated with reduced 1-year all-cause mortality.</x:t>
  </x:si>
  <x:si>
    <x:t xml:space="preserve">Yan, J.; McKinnerney, J.; Al Janabi, T.; Korgaonkar, N.; Kashyap, R.</x:t>
  </x:si>
  <x:si>
    <x:t xml:space="preserve">Car. Surg.</x:t>
  </x:si>
  <x:si>
    <x:t xml:space="preserve">10.1186/s43057-026-00193-5</x:t>
  </x:si>
  <x:si>
    <x:t xml:space="preserve">https://www.embase.com/search/results?subaction=viewrecord&amp;id=L2044035176&amp;from=export</x:t>
  </x:si>
  <x:si>
    <x:t xml:space="preserve">SCR_000060</x:t>
  </x:si>
  <x:si>
    <x:t xml:space="preserve">Heart failure with preserved ejection fraction for the clinician – highlights from the 5th annual Charleston HFpEF conference</x:t>
  </x:si>
  <x:si>
    <x:t xml:space="preserve">HFpEF is a clinical syndrome which can be further refined by invasive hemodynamics, with or without provocation testing. There is increasing recognition of pre-clinical HFpEF and the importance of addressing risk factors and comorbid conditions such as kidney disease and obesity. Novel mineralocorticoid receptor antagonists and glucagon-like peptide-1 receptor agonists show promise in cardiometabolic syndrome. Remote monitoring devices (pulmonary artery pressure monitoring devices, cardiac rhythm device sensors) improved HFpEF care indeed, while emerging device-based therapies such as atrial shunts warrant cautious optimism. A developing frontier in HFpEF management is targeted treatment of pulmonary hypertension through pulmonary artery denervation and/or pharmacologic therapy.</x:t>
  </x:si>
  <x:si>
    <x:t xml:space="preserve">Geagea, M.; Kozaily, E.; Buchanan, C.; Litwin, S.; Tedford, R.J.</x:t>
  </x:si>
  <x:si>
    <x:t xml:space="preserve">Heart Fail. Rev.</x:t>
  </x:si>
  <x:si>
    <x:t xml:space="preserve">10.1007/s10741-026-10601-x</x:t>
  </x:si>
  <x:si>
    <x:t xml:space="preserve">https://www.embase.com/search/results?subaction=viewrecord&amp;id=L2044149416&amp;from=export</x:t>
  </x:si>
  <x:si>
    <x:t xml:space="preserve">SCR_000061</x:t>
  </x:si>
  <x:si>
    <x:t xml:space="preserve">Risk factors analysis of right ventricular-arterial uncoupling in patients having acute heart failure with preserved ejection fraction accompanied by coronary artery disease</x:t>
  </x:si>
  <x:si>
    <x:t xml:space="preserve">Background: Right ventricular (RV)-arterial uncoupling is highly prevalent in patients having acute heart failure with preserved ejection fraction (HFpEF) accompanied by coronary artery disease (CAD), and it serves as a strong predictor of adverse outcomes. This study aimed to analyze the risk factors of RV-arterial uncoupling in order to explore novel therapeutic targets in acute HFpEF patients with CAD. Methods: This prospective study included 456 consecutive acute HFpEF patients with CAD. The patients were divided into RV-arterial uncoupling and coupling groups based on the optimal cutoff value, determining from a receiver operating characteristic (ROC) curve of tricuspid annular plane systolic excursion to pulmonary artery systolic pressure (TAPSE/PASP). Independent risk factors for RV-arterial uncoupling were identified using logistic regression analysis, and combined diagnosis of RV-arterial uncoupling was constructed. A ROC curve was then drawn to evaluate the influencing factors and the effectiveness of combined diagnosis. Results: In acute HFpEF patients with CAD, a TAPSE/PASP ratio of ≤ 0.43 provided good accuracy in identifying patients with RV-arterial uncoupling, with an area under the curve (AUC), 0.701, sensitivity of 58.6%, and specificity of 77.7%. Multivariable logistic regression analysis revealed that E/e´ (early diastolic mitral inflow velocity/early diastolic septal mitral annular tissue velocity), the internal diameter of the inferior vena cava (IVC), history of hypertension, atrial fibrillation, postoperative coronary artery bypass grafting (CABG) and interleukin-6 levels were the independent risk factors for RV-arterial uncoupling in acute HFpEF patients with CAD. Furthermore, left ventricular ejection fraction (LVEF), body mass index (BMI), red blood cell distribution width-standard deviation (RDW-SD), and serum albumin levels were protective factors for RV-arterial uncoupling (P &lt; 0.05). A combination of 9 common indexes, including E/e´, LVEF, IVC, hypertensive history, atrial fibrillation, postoperative CABG, BMI, RDW-SD, and serum albumin, was constructed and this common index was combined with interleukin-6 again to draw a ROC curve together with interleukin-6. The AUCs for the common index, interleukin-6, and the common index combined with interleukin-6 in diagnosing RV-arterial uncoupling were 0.862 (95% CI, 0.817–0.899), 0.944 (95% CI, 0.917–0.965) and 0.980 (95% CI, 0.957–0.993), respectively, with P &lt; 0.001. Pairwise comparisons of these three evaluation methods showed P values all &lt; 0.001, with the common index combined with interleukin-6 demonstrating the highest diagnostic efficacy for RV-arterial uncoupling, achieving a sensitivity of 94.8%, a specificity of 91.6%, and an accuracy of 92.9%. Conclusions: In acute HFpEF patients with CAD, E/e´, IVC, a history of hypertension, atrial fibrillation, CABG, and interleukin-6 are associated with an increased risk of RV-arterial uncoupling, whereas LVEF, BMI, RDW-SD, and serum albumin levels serve as positive factors. Interleukin-6 plays a significant role in RV-arterial uncoupling, and its clinical value is worthy of attention.</x:t>
  </x:si>
  <x:si>
    <x:t xml:space="preserve">Jia, H.; Zhang, F.; Liu, Z.; Zhao, J.; Liu, L.; Ma, L.</x:t>
  </x:si>
  <x:si>
    <x:t xml:space="preserve">10.1186/s12872-026-05684-1</x:t>
  </x:si>
  <x:si>
    <x:t xml:space="preserve">https://www.embase.com/search/results?subaction=viewrecord&amp;id=L2044698430&amp;from=export</x:t>
  </x:si>
  <x:si>
    <x:t xml:space="preserve">SCR_000062</x:t>
  </x:si>
  <x:si>
    <x:t xml:space="preserve">A retrospective cohort study on the interaction between arterial stiffness and insulin resistance in chronic heart failure</x:t>
  </x:si>
  <x:si>
    <x:t xml:space="preserve">Background: Arterial stiffness and insulin resistance are established risk factors for chronic heart failure (CHF), yet their interaction in CHF remains unclear. Methods: We analyzed 1,162 hospitalized CHF patients at Nanjing Drum Tower Hospital. Estimated pulse wave velocity (ePWV) was calculated using a nonlinear function of age and mean blood pressure, and the triglyceride-glucose index (TyG) was calculated based on fasting triglyceride and plasma glucose levels. Participants were stratified into four groups by the medians of ePWV and TyG. Restricted cubic spline (RCS) analysis examined nonlinear associations, while Cox proportional hazards regression assessed cardiovascular mortality risk; additive and multiplicative interactions between ePWV and TyG were further evaluated. Results: During a median follow-up of 921 days, 121 cardiovascular deaths occurred. RCS revealed a nonlinear J-shaped association between ePWV and cardiovascular mortality risk (inflection point: 11.36 m/s; 95% CI 11.35–11.38, P for nonlinearity = 0.013). In the combined analysis comparing with the dual-low group, cardiovascular mortality risk was significantly elevated when both markers were above the median (HR = 2.99, 95% CI 1.73–5.17). Controlling for one of the two factors below the median, the isolated elevation of the other marker did not lead to a significant increase in risk. Additive interaction analysis indicated a synergistic effect (RERI = 1.52, 95% CI 0.28–2.99; AP = 0.52, 95% CI 0.08–0.81), whereas multiplicative interaction was nonsignificant (P = 0.065). Findings were consistent across subgroups and robust to sensitivity analyses. Conclusion: In CHF, concomitant elevation of ePWV and TyG conferred a 2.99-fold increased risk, with 52% attributable to their interaction.</x:t>
  </x:si>
  <x:si>
    <x:t xml:space="preserve">Ma, L.; Guo, W.; Bi, J.; Liu, X.; Bao, X.; Song, G.; Gu, R.</x:t>
  </x:si>
  <x:si>
    <x:t xml:space="preserve">Eur. J. Med. Res.</x:t>
  </x:si>
  <x:si>
    <x:t xml:space="preserve">10.1186/s40001-026-04146-w</x:t>
  </x:si>
  <x:si>
    <x:t xml:space="preserve">https://www.embase.com/search/results?subaction=viewrecord&amp;id=L2044761408&amp;from=export</x:t>
  </x:si>
  <x:si>
    <x:t xml:space="preserve">SCR_000063</x:t>
  </x:si>
  <x:si>
    <x:t xml:space="preserve">Impact of a structured nurse-delivered multi component SGLT2 inhibitor initiation and optimization pathway on kidney function and clinical outcomes in type 2 diabetes and chronic kidney disease: a real-world retrospective study</x:t>
  </x:si>
  <x:si>
    <x:t xml:space="preserve">Background: The implementation gap between evidence-based SGLT2 inhibitor therapy and real-world practice remains substantial in patients with type 2 diabetes mellitus (T2DM) and chronic kidney disease (CKD). Protocolized care delivery bundles incorporating frequent follow-up, systematic monitoring and adherence support may bridge this implementation gap. Objective: To evaluate the impact of a a structured, nurse-delivered multi component pathway (frequent contact, protocolized monitoring, and adherence reminders) on kidney function progression and clinical outcomes in patients with T2DM and CKD. Methods: This single-center, retrospective cohort study included 450 patients with T2DM and CKD who initiated SGLT2 inhibitors between February 2024 and February 2025. Patients were categorized into structured nurse-delivered multi component pathway management (n = 225) or conventional care (n = 225) groups. Primary outcomes included annualized eGFR decline rate and composite kidney endpoint (≥ 40% eGFR decline, end-stage kidney disease, or kidney-related death). Propensity score weighting was applied to balance baseline characteristics. Results: The structured nurse-delivered multi component group demonstrated a slower annualized eGFR decline compared to conventional care. The composite kidney endpoint occurred less frequently in the structured nurse-delivered multi component group (HR 0.68, 95% CI 0.52–0.89, P = 0.004). Laboratory follow-up compliance was significantly higher in the structured nurse group (82.3% vs. 64.7%, P &lt; 0.001). Adverse event-related drug discontinuation was lower with structured nurse-delivered multi component group (8.4% vs. 15.2%, P = 0.012). Conclusion: A structured SGLT2 inhibitor management bundle delivered through a nurse-coordinated pathway reflecting greater care intensity and standardized follow-up was associated with improved kidney function trajectories and fewer adverse kidney outcomes in routine practice. Clinical trial number: The clinical trial was registered in the Chinese Clinical Trial Registry (ChiNHSMU20231015).</x:t>
  </x:si>
  <x:si>
    <x:t xml:space="preserve">Huang, L.; Yi, M.</x:t>
  </x:si>
  <x:si>
    <x:t xml:space="preserve">BMC Nephrol.</x:t>
  </x:si>
  <x:si>
    <x:t xml:space="preserve">10.1186/s12882-026-04842-z</x:t>
  </x:si>
  <x:si>
    <x:t xml:space="preserve">https://www.embase.com/search/results?subaction=viewrecord&amp;id=L2045217144&amp;from=export</x:t>
  </x:si>
  <x:si>
    <x:t xml:space="preserve">SCR_000064</x:t>
  </x:si>
  <x:si>
    <x:t xml:space="preserve">Pharmacogenomic study of the effects of saxagliptin on glucose control and hypoglycemic events</x:t>
  </x:si>
  <x:si>
    <x:t xml:space="preserve">Background: Saxagliptin is a DPP-4 inhibitor widely used to manage type 2 diabetes, though genetic contributors to variability in response remain unclear. This study aimed to identify genetic variants associated with the efficacy and safety of saxagliptin using genome-wide association studies (GWAS) with data from randomized controlled trials. Methods: GWAS were conducted on glycated hemoglobin (HbA1c) levels and hypoglycemic events in saxagliptin-treated individuals from 12 phase II or III clinical trials. Additional exploratory traits included fasting glucose, weight, body mass index, systolic and diastolic blood pressure, heartbeat, and renal function. Primary analyses focused on participants of European ancestry, followed by analyses in the overall multi-ancestry cohort. Linear mixed models for continuous traits and Cox proportional hazards models for time-to-event analyses were used, including gene-by-sex and gene-by-treatment interactions. We also performed a transcriptome-wide association study (TWAS) to identify genes whose predicted expression is associated with the response to saxagliptin using the S-PrediXcan framework. Results: Among 1 016 European and 1 826 multi-ancestry saxagliptin-treated participants, no genome-wide significant associations were observed. Suggestive associations included rs2168426:T &gt; C near UBE2E1 for HbA1c (p = 1.0 × 10) and rs138558907:C &gt; T near CCSER2 for hypoglycemia (p = 6.1 × 10). Treatment interaction analyses showed a stronger rs2168426 effect on HbA1c among saxagliptin users compared with non-users (pint = 9.2 × 10³). The TWAS revealed three genes that significantly associated with HbA1c in human tissues: OGFOD3 in aorta (p = 8.3 × 10), TBC1D3D in coronary artery (p = 3.3 × 10), and TYSND1 in amygdala (p = 3.9 × 10). In the multi-ancestry cohort, KDM7A in whole blood was significantly associated with HbA1c (p = 3.6 × 10). Conclusion: Larger, diverse studies are needed to identify pharmacogenomic determinants of responses to saxagliptin.</x:t>
  </x:si>
  <x:si>
    <x:t xml:space="preserve">Pilon, M.-O.; de Denus, S.; Asselin, G.; Legault, M.-A.; Ngongang Kwandjang, H.B.; Barhdadi, A.; Lemieux Perreault, L.-P.; Valois, D.; Mongrain, I.; Haefliger, C.; Paul, D.S.; Pearson, E.R.; Tardif, J.-C.; Dubé, M.-P.</x:t>
  </x:si>
  <x:si>
    <x:t xml:space="preserve">BMC Med. Genomics</x:t>
  </x:si>
  <x:si>
    <x:t xml:space="preserve">10.1186/s12920-026-02348-z</x:t>
  </x:si>
  <x:si>
    <x:t xml:space="preserve">https://www.embase.com/search/results?subaction=viewrecord&amp;id=L2045282077&amp;from=export</x:t>
  </x:si>
  <x:si>
    <x:t xml:space="preserve">SCR_000065</x:t>
  </x:si>
  <x:si>
    <x:t xml:space="preserve">SGLT2 inhibitors and outcomes after surgical aortic valve replacement: attention to detail</x:t>
  </x:si>
  <x:si>
    <x:t xml:space="preserve">Magoon, R.; Jose, J.</x:t>
  </x:si>
  <x:si>
    <x:t xml:space="preserve">10.1186/s43057-026-00202-7</x:t>
  </x:si>
  <x:si>
    <x:t xml:space="preserve">JOUR; Letter</x:t>
  </x:si>
  <x:si>
    <x:t xml:space="preserve">https://www.embase.com/search/results?subaction=viewrecord&amp;id=L2045373274&amp;from=export</x:t>
  </x:si>
  <x:si>
    <x:t xml:space="preserve">SCR_000066</x:t>
  </x:si>
  <x:si>
    <x:t xml:space="preserve">Research design concerns in a TriNetX study of SGLT2 inhibitor use and surgical aortic valve replacement</x:t>
  </x:si>
  <x:si>
    <x:t xml:space="preserve">Sheu, C.; Wang, J.</x:t>
  </x:si>
  <x:si>
    <x:t xml:space="preserve">10.1186/s43057-026-00205-4</x:t>
  </x:si>
  <x:si>
    <x:t xml:space="preserve">https://www.embase.com/search/results?subaction=viewrecord&amp;id=L2045393300&amp;from=export</x:t>
  </x:si>
  <x:si>
    <x:t xml:space="preserve">SCR_000067</x:t>
  </x:si>
  <x:si>
    <x:t xml:space="preserve">Outcomes with transcatheter aortic valve replacement for aortic stenosis in rheumatoid arthritis: an observational study</x:t>
  </x:si>
  <x:si>
    <x:t xml:space="preserve">Objective: To evaluate the short- and long-term clinical outcomes of transcatheter aortic valve replacement (TAVR) among participants with RA and aortic stenosis compared with those without RA, using real-world data from a large multicentre registry. Methods: Using the TriNetX Research Network, participants with aortic stenosis undergoing TAVR with (RA+) vs without (RA−) RA were identified. Odds ratios (ORs) with 95% CIs estimated 30-day all-cause mortality, permanent pacemaker implantation, ischaemic stroke, acute kidney injury, myocardial infarction, cardiogenic shock, major vascular complications, and major or life-threatening bleeding were evaluated. Five-year outcomes included all-cause mortality, ischaemic stroke, myocardial infarction and all-cause hospitalization. Cox regression was used to estimate hazard ratios (HRs) with 95% CIs. Results: A total of 1414 RA+ (4.3%) and 39 004 RA− participants were eligible. After matching, 1374 were included in each cohort. At 30 days, outcomes did not differ between RA+ and RA− groups; mortality was 2.0% vs 1.5% (OR 1.29; 95% CI 0.73–2.29), with no significant differences in other endpoints. Over 5 years, mortality was 23.8% vs 20.5% (OR 1.12; 95% CI 0.97–1.31), and stroke, myocardial infarction and hospitalization were similar; HRs were concordant with OR estimates. In sex-based analyses of RA patients, outcomes did not differ by sex. Conclusion: In this large observational study, TAVR was not associated with excess short- or long-term risk in patients with RA. These findings support TAVR as a safe therapeutic option in RA patients with aortic stenosis.</x:t>
  </x:si>
  <x:si>
    <x:t xml:space="preserve">Ramadan, A.; Doma, M.; Kamel, I.; Ferreira Felix, I.; Mahmoud, A.K.; Atta, R.; Elgendy, I.Y.; Goldsweig, A.M.</x:t>
  </x:si>
  <x:si>
    <x:t xml:space="preserve">Rheumatology</x:t>
  </x:si>
  <x:si>
    <x:t xml:space="preserve">10.1093/rheumatology/keag234</x:t>
  </x:si>
  <x:si>
    <x:t xml:space="preserve">https://www.embase.com/search/results?subaction=viewrecord&amp;id=L2045847276&amp;from=export</x:t>
  </x:si>
  <x:si>
    <x:t xml:space="preserve">SCR_000068</x:t>
  </x:si>
  <x:si>
    <x:t xml:space="preserve">Inflammasome pathway component expressions in myocardial samples of advanced heart failure patients treated with novel heart failure pharmacotherapies</x:t>
  </x:si>
  <x:si>
    <x:t xml:space="preserve">Background: The inflammasome pathway has been implicated in the progression of heart failure (HF). Preclinical studies suggest that angiotensin receptor–neprilysin inhibitor (ARNi) and sodium–glucose cotransporter-2 inhibitor (SGLT2i) therapies may attenuate inflammasome activation, yet evidence in the failing human myocardium remains sparse. Hence, we evaluated the associations between ARNi and SGLT2i therapies and myocardial priming of inflammasome pathway components in explanted hearts from heart transplantation (HTX) recipients. Methods: Biobank samples from the left ventricular myocardium of 104 HTX recipients were analyzed. The mRNA and protein expression of inflammasome-related targets (absent in melanoma 2 [AIM2], NLR family pyrin domain containing 3 [NLRP3], caspase-1, gasdermin D, and nuclear factor kappa-light-chain-enhancer of activated B cells [NF-κB]) were quantified using qRT-PCR and Western blotting. Multivariable linear regression models were applied to assess the relationships between inflammasome component expression and clinical variables, including treatment with ARNi and SGLT2i. Results: ARNi and SGLT2i therapies were associated with lower mRNA expression of AIM2, NLRP3, caspase-1, and NF-κB in univariate analyses. However, after adjustment for clinical covariates, these associations with inflammasome-related transcripts were no longer statistically significant. In multivariable models, only female sex, diabetes, time since heart transplantation, and serum potassium concentration remained associated with myocardial inflammasome pathway expression. Conclusions: In myocardial samples from patients with advanced HF, no clear differences in the expression of selected inflammasome priming-related targets were observed between treatment eras before and after the introduction of ARNi and SGLT2i therapies, despite their experimentally suggested anti-inflammatory effects, warranting further investigation.</x:t>
  </x:si>
  <x:si>
    <x:t xml:space="preserve">Nagy, D.; Onódi, Z.; Kovács, A.; Bálint, T.; Horváth, Z.; Oláh, A.; Sayour, A.A.; Barta, B.A.; Ferdinandy, P.; Radovits, T.; Merkely, B.; Varga, Z.; Ruppert, M.</x:t>
  </x:si>
  <x:si>
    <x:t xml:space="preserve">Int. J. Cardiol.</x:t>
  </x:si>
  <x:si>
    <x:t xml:space="preserve">10.1016/j.ijcard.2026.134686</x:t>
  </x:si>
  <x:si>
    <x:t xml:space="preserve">https://www.embase.com/search/results?subaction=viewrecord&amp;id=L2047778750&amp;from=export</x:t>
  </x:si>
  <x:si>
    <x:t xml:space="preserve">SCR_000069</x:t>
  </x:si>
  <x:si>
    <x:t xml:space="preserve">Safety of multiple grasping attempts during transcatheter mitral valve repair with the PASCAL system</x:t>
  </x:si>
  <x:si>
    <x:t xml:space="preserve">Background: Multiple grasping attempts are routinely required during mitral valve transcatheter-edge-to-edge repairs (M-TEER) to achieve optimal leaflet capture and minimize mitral regurgitation (MR). Whether extensive grasping adversely affects procedural outcomes remains unknown. Aims: We aimed to evaluate safety, procedural characteristics and durability of MR reduction in M-TEER procedures with low vs. high number of grasping attempts using the PASCAL system. Methods: Consecutive patients with severe MR who underwent M-TEER using the PASCAL system between 2019 and 2024 at our center were analyzed. Procedures were stratified according to grasping attempts: ≤7 (≤80th percentile, median 4 [2;5]) vs. ≥8 (&gt;80th percentile, median 10 [9;12], max. 22). Baseline, procedural, short- and latest outcomes, were compared between groups. Results: Overall, 391 M-TEER procedures (mean age 77.7 ± 10.1 years, 57.5% male) were included. No single leaflet device attachment, leaflet injury or other device-related complication occurred in either group. Procedures with ≥8 attempts were longer (126 ± 47.6 min vs. 82.9 ± 43.3 min; p &lt; 0.001) and associated with larger baseline EROA (0.48 [0.38;0.70] vs. 0.40 [0.30;0.50] cm2; p = 0.0001). Improvement in MR severity from baseline to discharge (p = 0.116) and sustainability of MR reduction at latest follow-up (median 434 [176;699] days; p = 0.082) were comparable between groups. NYHA functional class improvement (p = 0.99 at 90 days; p = 0.78 at latest follow-up) and all-cause mortality (7.3% vs. 6.5%; p = 1.00) were also similar. Conclusion: Multiple grasping during M-TEER using the PASCAL system is safe and results in sustained MR reduction, high procedural success and latest outcomes comparable to procedures requiring fewer attempts.</x:t>
  </x:si>
  <x:si>
    <x:t xml:space="preserve">Jürgens, F.; Schindhelm, F.; Abusharekh, M.; Brandts, C.M.K.; Kampf, J.; Totzeck, M.; Al-Rashid, F.; Lüdike, P.; Rassaf, T.; Mahabadi, A.A.</x:t>
  </x:si>
  <x:si>
    <x:t xml:space="preserve">10.1016/j.ijcard.2026.134636</x:t>
  </x:si>
  <x:si>
    <x:t xml:space="preserve">https://www.embase.com/search/results?subaction=viewrecord&amp;id=L2046715299&amp;from=export</x:t>
  </x:si>
  <x:si>
    <x:t xml:space="preserve">SCR_000070</x:t>
  </x:si>
  <x:si>
    <x:t xml:space="preserve">Transforming post-STEMI care: The IMPACS study design and baseline patient profile</x:t>
  </x:si>
  <x:si>
    <x:t xml:space="preserve">Background: Despite major advances in the acute management of ST-segment elevation myocardial infarction (STEMI), long-term outcomes remain suboptimal, largely due to persistent gaps in secondary prevention. The IMPACS study was designed to evaluate a standardized, intensified outpatient management strategy during the first year following STEMI. Methods: IMPACS is a national, prospective, multicentre study comparing an intensified outpatient disease-management program with standard care. Consecutive STEMI patients were enrolled at four PCI centres. The intervention includes four structured outpatient visits within one year of discharge, focusing on clinical assessment, pharmacotherapy optimisation, and comprehensive risk-factor management. The primary endpoint is a composite of all-cause mortality and cardiovascular hospitalisations, compared with matched administrative-data controls from the six remaining PCI centres nationwide. Results: A total of 1031 patients were included. The mean age was 62 years, and 75% were male. Primary PCI was performed in 96% of patients. Anterior-wall STEMI occurred in 43%, and 6% presented with advanced Killip class (III or IV). The median left ventricular ejection fraction was 45%. Cardiovascular risk factors were highly prevalent: hypertension in 73%, high LDL-C in 75%, diabetes mellitus in 23%, and current smoking in 49%. Prescription of guideline-directed medical therapy at discharge was high, with dual antiplatelet therapy in 95% and statins in 99% of patients. Conclusion: IMPACS represents a novel approach to post-ACS care. Baseline findings indicate a relatively young STEMI population with a high burden of cardiovascular risk factors, supporting the need for intensified secondary prevention strategies. Ongoing follow-up will determine its impact on long-term clinical outcomes.</x:t>
  </x:si>
  <x:si>
    <x:t xml:space="preserve">Teringova, E.; Molnar, R.; Saal, B.; Soosova, I.; Rybar, I.; Gbur, M.; Kmec, J.; Luknar, M.; Studencan, M.; Muzik, R.; Goncalvesova, E.</x:t>
  </x:si>
  <x:si>
    <x:t xml:space="preserve">10.1016/j.ijcard.2026.134573</x:t>
  </x:si>
  <x:si>
    <x:t xml:space="preserve">https://www.embase.com/search/results?subaction=viewrecord&amp;id=L2046263048&amp;from=export</x:t>
  </x:si>
  <x:si>
    <x:t xml:space="preserve">SCR_000071</x:t>
  </x:si>
  <x:si>
    <x:t xml:space="preserve">Exploring the association of frailty and swallowing function with postoperative changes in activities of daily living among older patients undergoing cardiac surgery</x:t>
  </x:si>
  <x:si>
    <x:t xml:space="preserve">Background: Postoperative decline in activities of daily living (ADL) is common among older patients undergoing cardiac surgery and is associated with poor quality of life and adverse clinical outcomes. Frailty and lower swallowing function have each been linked to postoperative functional decline; however, their combined association with postoperative ADL recovery remains unclear. Objectives: This retrospective cohort study examined the association between the coexistence of frailty and lower swallowing function and postoperative functional outcomes in older adults undergoing cardiac surgery. Methods: A total of 123 patients (median age, 73 years; 71.5% male) who underwent elective cardiac surgery between July 2020 and August 2024 were included. The primary outcome was the change in Barthel Index (BI) score from preoperative assessment to hospital discharge. Frailty was assessed using the Japanese version of the Cardiovascular Health Study (J‑CHS) criteria, and swallowing function was evaluated with the Repetitive Saliva Swallowing Test (RSST). Participants were classified into four groups according to the presence or absence of frailty and lower swallowing function (RSST ≤ 4). Results: The mean change in BI score was −2.03 ± 6.68, and those with both frailty and lower swallowing function exhibited a greater BI decline than the other groups (p &lt; 0.001). After adjustment for demographic and clinical variables, the coexistence of frailty and lower swallowing function remained independently associated with BI change (β = −0.371, p &lt; 0.001). Conclusions: These findings indicate that frailty and lower swallowing function may be meaningful factors associated with postoperative functional decline in older adults undergoing cardiac surgery, emphasizing the potential value of comprehensive preoperative assessment and multidisciplinary management strategies.</x:t>
  </x:si>
  <x:si>
    <x:t xml:space="preserve">Moroi, A.; Ishiyama, D.; Kubota, Y.; Koen, M.; Aoki, K.; Masuyama, M.; Yoshizawa, T.; Watanabe, Y.; Ueda, H.; Asai, K.; Ishii, Y.; Aoyagi, Y.</x:t>
  </x:si>
  <x:si>
    <x:t xml:space="preserve">Heart Lung</x:t>
  </x:si>
  <x:si>
    <x:t xml:space="preserve">10.1016/j.hrtlng.2026.102788</x:t>
  </x:si>
  <x:si>
    <x:t xml:space="preserve">https://www.embase.com/search/results?subaction=viewrecord&amp;id=L2044937567&amp;from=export</x:t>
  </x:si>
  <x:si>
    <x:t xml:space="preserve">SCR_000072</x:t>
  </x:si>
  <x:si>
    <x:t xml:space="preserve">Clinical benefit of optimization of heart failure therapy after heart failure hospitalization in adults with CHD</x:t>
  </x:si>
  <x:si>
    <x:t xml:space="preserve">Background Heart failure (HF) hospitalization is a marker of HF progression, and it is associated with mortality in adults with congenital heart disease (CHD). The purpose of this study was to assess the effect of guideline directed medical therapy (GDMT) on HF readmission and mortality in CHD patients with HF with reduced ejection fraction (HFrEF). We hypothesized that higher GDMT use was associated with lower risk of HF readmission and mortality. Method Retrospective study of CHD patients and HFrEF, admitted for HF (2003-2023). GDMT use was assessed at hospital discharge (baseline) and 1-year follow-up using a standardized GDMT score. GDMT uptitration was assessed as difference between GDMT score at baseline versus 1-year follow-up. Results Of 153 patients (age 51 ± 15 years, 39% males, left ventricular EF 29 ± 7%), the median baseline GDMT score was 2 (1, 3). Baseline GDMT score was associated with lower risk of HF readmission (hazard ratio [HR] 0.73, 95% confidence interval [CI] 0.54, 0.92, p &lt; 0.001) and mortality (HR 0.71, 95%CI 0.50, 0.93, p &lt; 0.001) per 1-unit increase in baseline GDMT score. Among patients with 1-year follow-up (N = 128), GDMT uptitration was associated with lower risk of HF readmission (HR 0.72, 95%CI 0.49, 0.94, p &lt; 0.001) and mortality (HR 0.69, 95%CI 0.41, 0.92, p = 0.02) per 1-unit increase. Patients with GDMT uptitration (N = 49, 38%) had greater improvement in neurohormonal activation and left ventricular systolic function, consistent with a lower risk of HF readmission and mortality in that group. Conclusions GDMT optimization was associated with lower risk of HF readmission and all-cause mortality amongst adults with CHD. Further studies are required to determine whether strategies to improve GDMT optimization would improve clinical outcomes in this population.</x:t>
  </x:si>
  <x:si>
    <x:t xml:space="preserve">Kholeif, Z.; Ellabbad, M.; Miranda, W.R.; Connolly, H.M.; Egbe, A.C.</x:t>
  </x:si>
  <x:si>
    <x:t xml:space="preserve">Int. J. Cardiol. Congenit. Heart Dis.</x:t>
  </x:si>
  <x:si>
    <x:t xml:space="preserve">10.1016/j.ijcchd.2026.100689</x:t>
  </x:si>
  <x:si>
    <x:t xml:space="preserve">https://www.embase.com/search/results?subaction=viewrecord&amp;id=L2046444999&amp;from=export</x:t>
  </x:si>
  <x:si>
    <x:t xml:space="preserve">SCR_000073</x:t>
  </x:si>
  <x:si>
    <x:t xml:space="preserve">Etiology of heart failure across the ejection fraction spectrum and association with mortality – insight from the HEart failuRe ObsErvational study (HEROES)</x:t>
  </x:si>
  <x:si>
    <x:t xml:space="preserve">Purpose: The associations between heart failure (HF) etiology in patients with HF with preserved ejection fraction (HFpEF), HF with mildly reduced ejection fraction (HFmrEF), HF with reduced ejection fraction (HFrEF) and all-cause mortality are inconsistent. We performed a comparative assessment of the different HF etiologies and their impact on the long-term prognosis. Patients and methods: Hospitalized patients and outpatients were enrolled in the HEart failuRe ObsErvational Study (HEROES), a prospective, multicenter cohort study. Patients were categorized according to HF etiology (ischemic, valvular, hypertensive, arrhythmic, and other) and HF subtype. Follow-up included all-cause mortality. Results: Among included 1210 patients (26.5% HFpEF, 21.7% HFmrEF, 51.8% HFrEF, 41.2% ischemic, 11.6% hypertensive, 11.3% arrhythmic, 10.7% valvular, and 25.5% other etiologies), over a median follow-up of 14.7 months (interquartile range 11.6–18.4), 183 deaths (15.1%) were observed. Considering ischemic etiology as the reference, the adjusted hazard ratios (HRs) for all-cause mortality were: HFpEF – arrhythmic 1.00 [0.35–2.88], hypertensive 0.42 [0.14–1.30], valvular 0.54 [0.17–1.67], other 1.03 [0.25–4.29], P=0.40; HFrEF – arrhythmic 0.76 [0.26–2.32], hypertensive 1.65 [0.60–4.65], valvular 0.80 [0.32–2.04], other 0.79 [0.47–1.35], P=0.30. In HFmrEF, ischemic etiology conferred the best survival, with significantly higher risks for arrhythmic (aHR 5.30 [1.57–17.92]), hypertensive (4.33 [1.33–14.11]), and valvular (6.82 [1.95–23.82]) groups, P&lt;0.001. Conclusions: In our study, etiology exerts minimal independent influence on mortality in HFpEF and HFrEF, and HFmrEF exhibited marked divergence, with ischemic etiology conferring the best survival and significantly higher risks for arrhythmic, hypertensive, and valvular groups.</x:t>
  </x:si>
  <x:si>
    <x:t xml:space="preserve">Tarnowski, M.; Molenda, K.; Morawiec, R.; Galas, A.; Byczkowska, K.; Siniarski, A.; Tymińska, A.; Żarek-Starzewska, A.; Kasprzak, J.; Drożdż, J.; Gorczyca-Głowacka, I.</x:t>
  </x:si>
  <x:si>
    <x:t xml:space="preserve">Adv. Med. Sci.</x:t>
  </x:si>
  <x:si>
    <x:t xml:space="preserve">10.1016/j.advms.2026.06.002</x:t>
  </x:si>
  <x:si>
    <x:t xml:space="preserve">https://www.embase.com/search/results?subaction=viewrecord&amp;id=L2046963594&amp;from=export</x:t>
  </x:si>
  <x:si>
    <x:t xml:space="preserve">SCR_000074</x:t>
  </x:si>
  <x:si>
    <x:t xml:space="preserve">The presence of transthyretin cardiac amyloidosis in patients undergoing coronary artery bypass graft surgery</x:t>
  </x:si>
  <x:si>
    <x:t xml:space="preserve">Background and Aims: Transthyretin amyloid cardiomyopathy (ATTR-CM) is an increasingly recognised albeit rare and frequently delayed diagnosis in patients with a variety of underlying cardiac presentations. This cross-sectional observation study aimed to determine the prevalence of cardiac amyloidosis in an undifferentiated adult population with coronary artery disease undergoing coronary artery bypass graft surgery (CABG) using direct histological analysis of cardiac tissue. Methods: Consecutive eligible patients, with no known history of ATTR-CM or monoclonal gammopathy, aged 60 years and over, undergoing CABG were enrolled in the study. Myocardial samples were taken perioperatively from bypass cannulation area and sent for histopathological analysis to look for infiltration of the myocardium with transthyretin (TTR) amyloid. Results: Among 101 patients enrolled, 95 were male, and 6 were female. The mean age of the patients was 70.4 years (95% CI; 69.3 – 71.5). Seventy-nine tissue samples were obtained from 70 participants and sent for histological analysis. NYHA Class 2 symptoms were present in 44.3%. The incidence of hypertension was 88.6%, and dyslipidaemia was 87.1%. Regarding medications, 75.7% were taking ACE-i/ARB/ARNI, 68.6% beta-blockers, and 91.4% were taking a statin. No complications arose as a result of myocardial sampling at surgery. No cardiac amyloidosis was identified on immunohistochemistry and Congo red analysis. Conclusion: In this large series of older patients undergoing CABG, infiltration of myocardial tissue with ATTR was not seen and the yield of routine myocardial biopsy to detect ATTR is low.</x:t>
  </x:si>
  <x:si>
    <x:t xml:space="preserve">Hewitt, K.; Sulong, S.; Starr, N.; McCormack, J.; O'Sullivan, A.; Khan, A.; Chughtai, J.Z.; Early, S.; Fleck, R.; Giblin, G.; Healy, D.; Joyce, E.; Kinsella, A.; Mahon, N.G.; McCarthy, J.; Shuhaibar, M.; Tolan, M.; Murphy, K.; Nolke, L.; Perez-Garcia, C.; Fabre, A.; O'Neill, J.O.</x:t>
  </x:si>
  <x:si>
    <x:t xml:space="preserve">Cardiovasc. Pathol.</x:t>
  </x:si>
  <x:si>
    <x:t xml:space="preserve">10.1016/j.carpath.2026.107842</x:t>
  </x:si>
  <x:si>
    <x:t xml:space="preserve">https://www.embase.com/search/results?subaction=viewrecord&amp;id=L2047621596&amp;from=export</x:t>
  </x:si>
  <x:si>
    <x:t xml:space="preserve">SCR_000075</x:t>
  </x:si>
  <x:si>
    <x:t xml:space="preserve">Feasibility and Yield of a Diagnostic Protocol for Myocardial Infarction With Nonobstructive Coronary Arteries</x:t>
  </x:si>
  <x:si>
    <x:t xml:space="preserve">Current guidelines recommend a structured diagnostic protocol to determine the underlying final diagnosis for myocardial infarction with nonobstructive coronary arteries (MINOCA). Yet, a comprehensive diagnostic workup is often hindered by economic and time constraints, and real-world data is scarce. This study thus aimed to examine the diagnostic strategy of a structured protocol beyond initial invasive coronary angiography (ICA) for MINOCA. This prospective multicenter cohort study enrolled MINOCA patients who underwent ICA between December 2020 and June 2024. The protocol with a stepwise approach recommended ad hoc optical coherence tomography (OCT) for culprit lesion identification. Left ventricular angiography (LVA) or echocardiography was indicated for screening takotsubo syndrome (TTS). In case no overt diagnosis was found, cardiac magnetic resonance (CMR) was performed to distinguish focal myocardial infarction from other diagnoses, including myocarditis, TTS, and other nonischemic cardiomyopathy. Coronary functional testing (CFT) was considered in the case of persistent angina. A total of 183 patients (60% female) were enrolled. The diagnostic yield per test was 19% with OCT (21/112), 29% with LVA and/or echocardiography (32/112), 62% with CMR (64/104), and 50% (1/2) with CFT. An incremental diagnostic yield in 183 patients was observed by combining modalities (11% with OCT alone vs 29% with OCT and LVA/echocardiography vs 58% with OCT, LVA/echocardiography, and CMR vs 59% by adding CFT to all the imaging, p &lt; 0.01). In conclusion, a structured diagnostic protocol with multiple diagnostic tests increases the diagnostic yield in the workup of MINOCA, resulting in an identified final diagnosis in 59%.</x:t>
  </x:si>
  <x:si>
    <x:t xml:space="preserve">Nishimiya, K.; Yosofi, B.; Dimitriu-Leen, A.C.; Volleberg, H.J.A.; Focks, J.J.; van Helden, G.; Jansen, T.P.J.; Camaro, C.; Cate, T.C.T.; van Wely, M.; van Nunen, L.X.; Thannhauser, J.; Elias-Smale, S.; van Geuns, R.J.; van Royen, N.; Nijveldt, R.; Damman, P.</x:t>
  </x:si>
  <x:si>
    <x:t xml:space="preserve">Am. J. Cardiol.</x:t>
  </x:si>
  <x:si>
    <x:t xml:space="preserve">10.1016/j.amjcard.2026.06.023</x:t>
  </x:si>
  <x:si>
    <x:t xml:space="preserve">https://www.embase.com/search/results?subaction=viewrecord&amp;id=L2047657349&amp;from=export</x:t>
  </x:si>
  <x:si>
    <x:t xml:space="preserve">SCR_000076</x:t>
  </x:si>
  <x:si>
    <x:t xml:space="preserve">Impact of SGLT2i on Cardiovascular Outcomes Following Acute Myocardial Infarction With Heart Failure With Preserved Ejection Fraction: Propensity-matched Registry Study</x:t>
  </x:si>
  <x:si>
    <x:t xml:space="preserve">Sodium-glucose co-transporter-2 inhibitors (SGLT2i) have demonstrated benefits in heart failure with preserved ejection fraction (HFpEF), but their impact following acute myocardial infarction (AMI) is less well understood. Using the TriNetX Research Network (TriNetX) multi-center registry (2014–2022), we identified patients with heart failure with preserved ejection fraction (HFpEF)—defined as left ventricular ejection fraction (LVEF) &gt;50% and New York Heart Association (NYHA) class II–IV—not previously treated with sodium-glucose co-transporter 2 inhibitors (SGLT2i) who experienced an acute myocardial infarction (AMI). Patients who initiated SGLT2i within 1-year post-AMI were compared with those who did not. Propensity score matching was used to balance cohorts (n = 20,423 each; mean age 68.3 ± 11.0 years; 54.5% female) for demographics, comorbidities, and treatment variables. The primary outcome was a composite of major adverse cardiovascular events (MACE), including all-cause mortality, recurrent AMI, acute heart failure, and stroke. Secondary outcomes included cardiac arrest and major bleeding. SGLT2i use was associated with lower rates of MACE (3.7% vs 6.1%; P = .0005), all-cause mortality (0.9% vs 5.6%; P &lt; .0001), and other adverse events at both 30 days and 1 year. In this large, propensity-matched cohort, SGLT2i use post-AMI in HFpEF patients was associated with favorable cardiovascular outcomes. Further studies are needed to confirm these associations.</x:t>
  </x:si>
  <x:si>
    <x:t xml:space="preserve">Calcagno, T.; Issa, R.; Canova, T.; Kaelber, D.; Menon, V.; Tang, W.H.W.; Griffin, B.; Kwon, D.; Wang, T.K.M.</x:t>
  </x:si>
  <x:si>
    <x:t xml:space="preserve">Angiology</x:t>
  </x:si>
  <x:si>
    <x:t xml:space="preserve">10.1177/00033197251345853</x:t>
  </x:si>
  <x:si>
    <x:t xml:space="preserve">https://www.embase.com/search/results?subaction=viewrecord&amp;id=L2039508832&amp;from=export</x:t>
  </x:si>
  <x:si>
    <x:t xml:space="preserve">SCR_000077</x:t>
  </x:si>
  <x:si>
    <x:t xml:space="preserve">Imaging insights into systemic tuberculosis with cardiac involvement: A rare challenging case of tuberculous chronic constrictive pericarditis and myocarditis</x:t>
  </x:si>
  <x:si>
    <x:t xml:space="preserve">Tuberculosis (TB) is a major public health challenge, primarily affecting the lungs. However, it can disseminate to any organ system, including the cardiovascular system. Among cardiac structures, the pericardium is the most commonly affected, often leading to constrictive pericarditis, whereas myocarditis remains rare. The clinical presentation of cardiac TB is heterogeneous and is frequently associated with extra cardiac manifestations, complicating the diagnostic process, particularly in the absence of definitive microbiological confirmation. In this context, advanced multimodal imaging is essential to improve diagnostic accuracy. We present a complex case of systemic TB manifesting as chronic constrictive pericarditis, myocarditis, pleuritis, chorioretinitis, and spondylodiscitis with a psoas abscess. A 21-year-old patient was admitted with dyspnea, acute chest pain, progressive vision declines and persistent lower back pain. Imaging, notably cardiac magnetic resonance, strongly suggested myopericardial TB associated with systemic involvement. Nonetheless, microbiological and histopathological tests for TB were negative. Given the high clinical suspicion of TB and the lack of other plausible causes, anti-tuberculous therapy was initiated along with corticosteroids and heart failure regimen. Pericardiectomy was subsequently performed. The patient demonstrated significant improvement within 6 weeks, further supporting the diagnosis of TB. Considering the potentially life-threatening complications of cardiac TB, a high index of clinical suspicion, along with a comprehensive multimodal imaging approach, is essential for early diagnosis, timely intervention, and improved patient outcomes.</x:t>
  </x:si>
  <x:si>
    <x:t xml:space="preserve">Jabri, M.; Boulouiz, S.; Bazid, Z.; Ouafi, N.E.; Ismaili, N.</x:t>
  </x:si>
  <x:si>
    <x:t xml:space="preserve">Radiol. Case Rep.</x:t>
  </x:si>
  <x:si>
    <x:t xml:space="preserve">10.1016/j.radcr.2026.04.028</x:t>
  </x:si>
  <x:si>
    <x:t xml:space="preserve">https://www.embase.com/search/results?subaction=viewrecord&amp;id=L2045663701&amp;from=export</x:t>
  </x:si>
  <x:si>
    <x:t xml:space="preserve">SCR_000078</x:t>
  </x:si>
  <x:si>
    <x:t xml:space="preserve">Glucagon-Like Peptide-1 Receptor Agonists and Risk of Systemic and Ocular Vascular Complications in Patients With Type 2 Diabetes and Diabetic Retinopathy</x:t>
  </x:si>
  <x:si>
    <x:t xml:space="preserve">Purpose: To evaluate the association of glucagon-like peptide-1 receptor agonists (GLP-1 RAs) use on macrovascular and microvascular outcomes in patients with type 2 diabetes (T2D) and diabetic retinopathy (DR)—a high-risk group often excluded from clinical trials. Design: Retrospective, population-based cohort study. Participants: Adults aged ≥18 years with T2D (with hemoglobin A1c of ≥6.5%) and a pre-existing diagnosis of DR from the TriNetX research network database between January 1, 2015, and December 31, 2022. Methods: The study included 173,216 adults with T2D, all of whom had DR, adjusted for baseline characteristics through propensity score matching (PSM) based on whether the individuals received at least 2 prescriptions of a GLP-1 RA (semaglutide, dulaglutide, liraglutide, exenatide, tirzepatide, or lixisenatide) at least 6 months apart. Main outcome measures: Cox proportional hazard regression models were used to evaluate the association between GLP-1 RAs and the risk of incident macrovascular and microvascular complications over a 2-year follow-up period. Results: After PSM, 30,613 individuals (mean [SD] age, 61.6 [11.4] years; 53.2% were females) were prescribed GLP-1 RAs. Patients on GLP-1 RAs had a decreased risk of myocardial infarctions (MIs; hazard ratio [HR], 0.65; 95% CI, 0.61-0.69), coronary artery revascularization procedures (HR, 0.75; 95% CI, 0.67-0.84), heart failure exacerbations (HR, 0.78; 95% CI, 0.76-0.81), ischemic strokes (HR, 0.78; 95% CI, 0.74-0.83), lower extremity amputations (HR, 0.78; 95% CI, 0.69-0.88), acute kidney injuries (AKI; HR, 0.68; 95% CI, 0.66-0.71), or the need for renal replacement therapy (RRT; HR, 0.40; 95% CI, 0.36-0.43). Fewer individuals also progressed to proliferative diabetic retinopathy (HR, 0.78; 95% CI, 0.71-0.86), experienced retinal vein occlusions (RVOs; HR, 0.70; 95% CI, 0.61-0.80), or developed neovascular glaucoma (HR, 0.65; 95% CI, 0.47-0.89); no association was observed for retinal artery occlusions (RAOs; HR, 0.85; 95% CI, 0.57-1.26) or cases of non-arteritic ischemic optic neuropathy (NAION; HR, 0.88; 95% CI, 0.54-1.44). Conclusions: In patients with T2D and pre-existing DR, the use of GLP-1 RAs was associated with a reduced risk of major macrovascular and microvascular complications, including those directly affecting the retina. Future studies are needed to assess the extent to which GLP-1 RAs benefit long-term outcomes.</x:t>
  </x:si>
  <x:si>
    <x:t xml:space="preserve">Shah, J.; Makwana, B.; Panchal, K.; Patel, V.; Patel, T.; Khadke, S.; Verma, A.; Vivekanandan, S.U.J.A.; Kong, Y.; Upadhyay, J.; Dani, S.S.; Ramsey, K.M.; Ganatra, S.; Ramsey, D.J.</x:t>
  </x:si>
  <x:si>
    <x:t xml:space="preserve">Am. J. Ophthalmol.</x:t>
  </x:si>
  <x:si>
    <x:t xml:space="preserve">10.1016/j.ajo.2026.04.021</x:t>
  </x:si>
  <x:si>
    <x:t xml:space="preserve">https://www.embase.com/search/results?subaction=viewrecord&amp;id=L2045880450&amp;from=export</x:t>
  </x:si>
  <x:si>
    <x:t xml:space="preserve">SCR_000079</x:t>
  </x:si>
  <x:si>
    <x:t xml:space="preserve">PubMed</x:t>
  </x:si>
  <x:si>
    <x:t xml:space="preserve">Differential Effects of GLP-1 Receptor Agonist and SGLT2 Inhibitor Add-on Therapy on Outcomes Following Cardiac Surgery: A Propensity Score-Matched Analysis.</x:t>
  </x:si>
  <x:si>
    <x:t xml:space="preserve">Glucagon-like peptide-1 (GLP-1) receptor agonists (RAs) and sodium-glucose cotransporter-2 (SGLT2) inhibitors (SGLT2is) reduce cardiovascular events in nonsurgical populations, yet their comparative effects as combination versus monotherapy after cardiac surgery remain unknown. Using the TriNetX US Collaborative Network (115 million patients, 67 healthcare organizations), we conducted a retrospective propensity score-matched cohort study of adults undergoing coronary artery bypass grafting or open valve surgery between January 2018 and January 2026, excluding transcatheter aortic valve replacement. Two prespecified analyses compared combination therapy (GLP-1 RA plus SGLT2i) with each monotherapy. One-to-one nearest-neighbor matching (caliper 0.1) balanced age, sex, race, ethnicity, comorbidities, and glycemic control. The primary outcome was all-cause mortality at 365 days, with prespecified subgroup analyses by heart failure (HF) and chronic kidney disease (CKD) status and sensitivity analyses at 180 and 600 days. After matching, Analysis 1 (combination vs GLP-1 RA monotherapy) included 6974 patients, and Analysis 2 (combination vs SGLT2i monotherapy) included 12,682 patients. Combination therapy was not associated with reduced mortality versus GLP-1 RA monotherapy overall (HR, 0.93; P = 0.587) but was associated with lower mortality versus SGLT2i monotherapy (HR, 0.60; P &lt; 0.001), along with lower atrial fibrillation and major adverse cardiovascular events. The Analysis 1 mortality benefit emerged only in HF and CKD subgroups, with an acute kidney injury signal at 600 days. GLP-1 RA add-on therapy was associated with broad mortality reduction after cardiac surgery, whereas SGLT2i add-on benefit was confined to patients with HF or CKD, with potential renal risk in unselected patients. Prospective trials are warranted.</x:t>
  </x:si>
  <x:si>
    <x:t xml:space="preserve">Biswas S; Wahba A; Srivastava Y; Kumar K; Chintagumpala V; Said SM</x:t>
  </x:si>
  <x:si>
    <x:t xml:space="preserve">Cardiology in review</x:t>
  </x:si>
  <x:si>
    <x:t xml:space="preserve">10.1097/crd.0000000000001393</x:t>
  </x:si>
  <x:si>
    <x:t xml:space="preserve">42487161</x:t>
  </x:si>
  <x:si>
    <x:t xml:space="preserve">Journal Article</x:t>
  </x:si>
  <x:si>
    <x:t xml:space="preserve">https://pubmed.ncbi.nlm.nih.gov/42487161/</x:t>
  </x:si>
  <x:si>
    <x:t xml:space="preserve">SCR_000080</x:t>
  </x:si>
  <x:si>
    <x:t xml:space="preserve">Balancing the evidence with the SPAQI recommendations: from perioperative discontinuation towards continuation of SGLT2 inhibitors.</x:t>
  </x:si>
  <x:si>
    <x:t xml:space="preserve">The Society for Perioperative Assessment and Quality Improvement consensus recommends a perioperative management strategy for sodium-glucose cotransporter 2 inhibitors based on surgical type, metabolic context, and underlying indication. This risk-stratified approach balances the low but real risk of euglycaemic ketoacidosis against established cardio-renal benefits. Current evidence is limited and suggests that euglycaemic ketoacidosis is driven more by metabolic context, particularly diabetes mellitus and fasting, than by drug continuation alone. Importantly, discontinuation could lead to a loss of cardiovascular benefit, whereas emerging data suggest potential perioperative benefits, although evidence remains limited. Overall, these recommendations shift toward a strategy based on euglycaemic ketoacidosis risk factors and careful metabolic monitoring rather than systematic discontinuation pending large randomised controlled trials.</x:t>
  </x:si>
  <x:si>
    <x:t xml:space="preserve">Garcia B; Dixit AA; Legrand M</x:t>
  </x:si>
  <x:si>
    <x:t xml:space="preserve">British journal of anaesthesia</x:t>
  </x:si>
  <x:si>
    <x:t xml:space="preserve">10.1016/j.bja.2026.05.005</x:t>
  </x:si>
  <x:si>
    <x:t xml:space="preserve">42276948</x:t>
  </x:si>
  <x:si>
    <x:t xml:space="preserve">Journal Article; Review; Editorial</x:t>
  </x:si>
  <x:si>
    <x:t xml:space="preserve">https://pubmed.ncbi.nlm.nih.gov/42276948/</x:t>
  </x:si>
  <x:si>
    <x:t xml:space="preserve">SCR_000081</x:t>
  </x:si>
  <x:si>
    <x:t xml:space="preserve">Synergistic Effects of SGLT2 Inhibitors and GLP-1R Agonists on Inflammation-Associated Oxidative Stress in Atrial Fibrillation.</x:t>
  </x:si>
  <x:si>
    <x:t xml:space="preserve">Atrial fibrillation (AF) is linked to atrial inflammation and adverse remodeling. The authors analyzed 80 right atrial appendages from cardiac surgery patients, including 18 with AF history, to examine the relationship between inflammation and sodium-glucose cotransporter 2 (SGLT2) and glucagon-like peptide 1 receptor (GLP-1R) expression and function. Inflamed right atrial appendages showed increased oxidative stress, fibrosis, and SGLT2 and GLP-1R expression, which were more pronounced in patients with AF. SGLT2 inhibitors and GLP-1R agonists reduced reactive oxygen species levels, with combination therapy being most effective. These findings suggest combined SGLT2 inhibitor and GLP-1R agonist treatment could be a potential approach to prevent AF-related atrial remodeling by reducing oxidative stress.</x:t>
  </x:si>
  <x:si>
    <x:t xml:space="preserve">Fakih W; Mroueh A; Kikuchi S; Marzak H; Amissi S; Gong DS; Kerth S; Kindo M; Mommerot A; Pieper MP; Ohlmann P; Morel O; Schini-Kerth V; Jesel L</x:t>
  </x:si>
  <x:si>
    <x:t xml:space="preserve">JACC. Basic to translational science</x:t>
  </x:si>
  <x:si>
    <x:t xml:space="preserve">10.1016/j.jacbts.2026.101587</x:t>
  </x:si>
  <x:si>
    <x:t xml:space="preserve">42247826</x:t>
  </x:si>
  <x:si>
    <x:t xml:space="preserve">https://pubmed.ncbi.nlm.nih.gov/42247826/</x:t>
  </x:si>
  <x:si>
    <x:t xml:space="preserve">SCR_000082</x:t>
  </x:si>
  <x:si>
    <x:t xml:space="preserve">SGLT2 Inhibition as a Perioperative Cardiorenal Stabilizer in Cardiac Surgery: Integrated Clinical Cohort and Pleiotropic Network-Based Pharmacological Analysis.</x:t>
  </x:si>
  <x:si>
    <x:t xml:space="preserve">Background: Patients with type 2 diabetes mellitus (T2DM) undergoing cardiac surgery represent a high-risk population characterized by substantial cardiometabolic stress and increased susceptibility to postoperative heart failure, renal dysfunction, and unplanned rehospitalization. Although sodium-glucose cotransporter 2 (SGLT2) inhibitors provide established cardiorenal protection in ambulatory populations, their perioperative impact in cardiac surgery cohorts remains insufficiently defined. Methods: In a single-center retrospective cohort of 620 T2DM patients, inverse probability of treatment weighting and time-dependent Cox regression were applied to account for perioperative treatment interruption and delayed postoperative reinitiation when evaluating the association between chronic SGLT2 inhibitor therapy and 12-month rehospitalization risk. To provide biological context for the observed clinical associations, target-driven systems pharmacology, molecular docking against SGLT2, NHE1, AMPK, and NLRP3, and protein-protein interaction (PPI) network analysis were performed. Hub proteins were identified using Maximal Clique Centrality, followed by functional enrichment (GO/KEGG) analysis. Results: Chronic SGLT2 inhibitor therapy was associated with reduced first rehospitalization (HR 0.64; 95% CI 0.48-0.85; p = 0.002) and a lower cumulative rehospitalization burden (IRR 0.61; 95% CI 0.46-0.82; p = 0.001), primarily driven by heart failure-related and metabolic phenotypes. Molecular docking analyses identified favorable binding with SGLT2 and additional cardiometabolic and inflammatory targets, including NHE1, AMPK, NLRP3, IKKβ, IL-6Rα, and PPAR isoforms, suggesting modulation of myocardial ion homeostasis, metabolic resilience, and inflammatory signaling. PPI analysis identified eight hub proteins (AKT1, MTOR, STAT3, EGFR, PIK3CA, SRC, MAPK1, and MAPK3) significantly enriched in PI3K/AKT, MAPK/ERK, and ErbB signaling pathways. Conclusions: Chronic SGLT2 inhibitor therapy was independently associated with reduced postoperative rehospitalization and cumulative event burden in T2DM patients undergoing cardiac surgery. Integrated in silico analyses offer mechanistic hypotheses consistent with the observed clinical associations. These findings suggest that structured perioperative SGLT2 inhibitor management may contribute to improved postoperative outcomes, while prospective validation in future studies would strengthen these findings. However, given the retrospective observational design, these findings should be interpreted as associative rather than causal.</x:t>
  </x:si>
  <x:si>
    <x:t xml:space="preserve">Onar LC; Guner E; Yilmaz I</x:t>
  </x:si>
  <x:si>
    <x:t xml:space="preserve">Journal of clinical medicine</x:t>
  </x:si>
  <x:si>
    <x:t xml:space="preserve">10.3390/jcm15082873</x:t>
  </x:si>
  <x:si>
    <x:t xml:space="preserve">42074676</x:t>
  </x:si>
  <x:si>
    <x:t xml:space="preserve">https://pubmed.ncbi.nlm.nih.gov/42074676/</x:t>
  </x:si>
  <x:si>
    <x:t xml:space="preserve">SCR_000083</x:t>
  </x:si>
  <x:si>
    <x:t xml:space="preserve">Therapeutic impact of SGLT2 inhibitors following transcatheter aortic valve implantation: a grade-assessed systematic review and meta-analysis.</x:t>
  </x:si>
  <x:si>
    <x:t xml:space="preserve">BACKGROUND: We aim to evaluate the impact of sodium-glucose cotransporter-2 (SGLT2) inhibitors on clinical outcomes in patients with severe aortic stenosis undergoing transcatheter aortic valve implantation (TAVI). METHODS: We conducted a PRISMA-guided systematic review and meta-analysis of studies comparing SGLT2 inhibitor therapy with standard care in adults undergoing TAVI. PubMed, Embase, Scopus, Web of Science, and Cochrane Library were searched from inception to November 2025. Outcomes included all-cause mortality, heart failure (HF) hospitalization, myocardial infarction (MI), cardiac death, stroke, pacemaker implantation, acute kidney injury (AKI), and bleeding events. Effect sizes were pooled using random-effects models, while time-to-event data were reconstructed for survival analyses. RESULTS: Four studies comprising 12,374 patients were included. SGLT2 inhibitor therapy significantly reduced all-cause mortality (RR 0.62, 95% CI 0.49–0.78), HF hospitalization (RR 0.67, 95% CI 0.50–0.91), MI (RR 0.83, 95% CI 0.73–0.93), and bleeding events (RR 0.81, 95% CI 0.72–0.90). Effects on cardiac death, stroke, pacemaker implantation, and AKI were not statistically significant (P &gt; 0.05). CONCLUSION: SGLT2 inhibitor therapy in patients undergoing TAVI was associated with reductions in all-cause mortality, HF hospitalization, and MI. However, these findings are based on a limited and heterogeneous evidence base, largely derived from observational studies, and should be interpreted with caution. The results should not be considered definitive or generalizable to all TAVI populations. Further adequately powered randomized trials are required.</x:t>
  </x:si>
  <x:si>
    <x:t xml:space="preserve">Hamzah KA; Kurmasha YH; Al-Shammari AS; Shweliya MA; Al-Janabi AAH; Shahzaib M; Akoum A; Sattar Y</x:t>
  </x:si>
  <x:si>
    <x:t xml:space="preserve">European journal of clinical pharmacology</x:t>
  </x:si>
  <x:si>
    <x:t xml:space="preserve">10.1007/s00228-026-04064-0</x:t>
  </x:si>
  <x:si>
    <x:t xml:space="preserve">42056230</x:t>
  </x:si>
  <x:si>
    <x:t xml:space="preserve">Journal Article; Systematic Review; Meta-Analysis; Review</x:t>
  </x:si>
  <x:si>
    <x:t xml:space="preserve">https://pubmed.ncbi.nlm.nih.gov/42056230/</x:t>
  </x:si>
  <x:si>
    <x:t xml:space="preserve">SCR_000084</x:t>
  </x:si>
  <x:si>
    <x:t xml:space="preserve">SGLT-2 inhibitor-associated significant hypernatremia and euglycemic diabetic ketoacidosis after cardiac surgery: a case series.</x:t>
  </x:si>
  <x:si>
    <x:t xml:space="preserve">BACKGROUND: Sodium-glucose cotransporter-2 inhibitors (SGLT-2i) were initially developed for the treatment of type 2 diabetes mellitus. Subsequent studies demonstrated their beneficial effects in improving heart failure, leading to widespread clinical use. However, perioperative administration of SGLT-2i in cardiac surgery may result in severe hypernatremia, sometimes accompanied by euglycemic diabetic ketoacidosis (euDKA). Such occurrences have been rarely reported. Here, we present five cases. CASE PRESENTATION: In this retrospective single-center case series, we analyzed five patients who developed significant hypernatremia following coronary artery bypass grafting, two of whom were confirmed to have concomitant euDKA. We provide a detailed description of their clinical courses along with a review of relevant literature. All five patients had received SGLT-2 inhibitors during the perioperative period and subsequently developed marked hypernatremia, with or without euDKA. In one particularly challenging case, hypernatremia proved refractory to conventional management, ultimately necessitating continuous renal replacement therapy (CRRT). CONCLUSIONS: SGLT-2 inhibitors induce hypernatremia and euDKA through multiple biological mechanisms, including osmotic diuresis. Because euDKA is characterized by ketoacidosis occurring in the absence of marked hyperglycemia, its diagnosis is often delayed or overlooked. Therefore, it is crucial to recognize the potential risk of these complications when prescribing SGLT-2 inhibitors in the perioperative setting of cardiac surgery. Based on our findings, we recommend discontinuing SGLT-2 inhibitors during the perioperative period.</x:t>
  </x:si>
  <x:si>
    <x:t xml:space="preserve">Bian EZ; Zou WW; Zhu QK; Zhuang WZ; Chen JM; Cen JZ; Gao Q</x:t>
  </x:si>
  <x:si>
    <x:t xml:space="preserve">Journal of cardiothoracic surgery</x:t>
  </x:si>
  <x:si>
    <x:t xml:space="preserve">10.1186/s13019-026-04141-6</x:t>
  </x:si>
  <x:si>
    <x:t xml:space="preserve">42032725</x:t>
  </x:si>
  <x:si>
    <x:t xml:space="preserve">Journal Article; Case Reports</x:t>
  </x:si>
  <x:si>
    <x:t xml:space="preserve">https://pubmed.ncbi.nlm.nih.gov/42032725/</x:t>
  </x:si>
  <x:si>
    <x:t xml:space="preserve">SCR_000085</x:t>
  </x:si>
  <x:si>
    <x:t xml:space="preserve">Preoperative Exposure to Sodium-Glucose Cotransporter-2 Inhibitors and Acute Kidney Injury After Cardiac Surgery: A Retrospective Single-Centre Cohort Study With Overlap Weighting Propensity Score Analysis.</x:t>
  </x:si>
  <x:si>
    <x:t xml:space="preserve">BACKGROUND &amp; AIMS: This study aims to investigate the impact of preoperative sodium-glucose cotransporter 2 inhibitor (SGLT2i) exposure on cardiac surgery-associated acute kidney injury. This is a single-centre retrospective cohort study with a propensity score weighting analysis for causal inference. The study was set in a cardiovascular and thoracic centre of a teaching hospital (France), between January 2022 and February 2024. METHOD: Participants were adults who had undergone cardiac surgery with cardiopulmonary bypass and had ≥1 of the following indications for long-term treatment with SGLT2i: type 2 diabetes with high cardiovascular risk; heart failure with a left ventricular ejection fraction &lt;50%; chronic kidney disease with a glomerular filtration rate &lt;60 mL/min/1.73 m2. Preoperative long-term SGLT2i medication versus no preoperative long-term SGLT2i medication, whether or not the treatment was discontinued during the preoperative period. RESULTS: The primary end point was cardiac-associated acute kidney injury Stage ≥1 in the 7 days after surgery as defined by the creatinine variation (Kidney Disease: Improving Global Outcomes criteria). Causal inference analysis was performed with overlap weighting propensity score analysis. A total 509 patients were included (117 with preoperative exposure to SGLT2i, 65 patients without preoperative treatment discontinuation). Preoperative exposure to SGLT2i was not associated with a significant reduction in cardiac surgery-associated acute kidney injury (35% vs 30%, relative risk 1.12; 95% confidence interval 0.80-1.55). CONCLUSIONS: Preoperative exposure to SGLT2i was not associated with a reduction in cardiac surgery-associated acute kidney injury in the present study, which was underpowered to rule out a potential clinically significant effect.</x:t>
  </x:si>
  <x:si>
    <x:t xml:space="preserve">Ruste M; Vieira A; Le Guennec-Lux Y; Berthod C; Pozzi M; Mewton N; Fellahi JL; Jacquet-Lagrèze M</x:t>
  </x:si>
  <x:si>
    <x:t xml:space="preserve">Heart, lung &amp; circulation</x:t>
  </x:si>
  <x:si>
    <x:t xml:space="preserve">10.1016/j.hlc.2026.01.004</x:t>
  </x:si>
  <x:si>
    <x:t xml:space="preserve">42014291</x:t>
  </x:si>
  <x:si>
    <x:t xml:space="preserve">https://pubmed.ncbi.nlm.nih.gov/42014291/</x:t>
  </x:si>
  <x:si>
    <x:t xml:space="preserve">SCR_000086</x:t>
  </x:si>
  <x:si>
    <x:t xml:space="preserve">Perioperative dapagliflozin in diabetic patients undergoing cardiac surgery: the DAPA-CS trial.</x:t>
  </x:si>
  <x:si>
    <x:t xml:space="preserve">Li Z; Chen R; Han J; Zhou H; Zeng Z; Zhao Y; Liu S; Zhang H; Zheng Z</x:t>
  </x:si>
  <x:si>
    <x:t xml:space="preserve">European heart journal</x:t>
  </x:si>
  <x:si>
    <x:t xml:space="preserve">10.1093/eurheartj/ehag249</x:t>
  </x:si>
  <x:si>
    <x:t xml:space="preserve">41964447</x:t>
  </x:si>
  <x:si>
    <x:t xml:space="preserve">https://pubmed.ncbi.nlm.nih.gov/41964447/</x:t>
  </x:si>
  <x:si>
    <x:t xml:space="preserve">SCR_000087</x:t>
  </x:si>
  <x:si>
    <x:t xml:space="preserve">SGLT2 Inhibitor Therapy and Long-Term Outcomes After Transcatheter Aortic Valve Implantation in Patients with Low Ejection Fraction.</x:t>
  </x:si>
  <x:si>
    <x:t xml:space="preserve">Background and Objectives: Patients with impaired left ventricular ejection fraction (LVEF) undergoing transcatheter aortic valve implantation (TAVI) remain at high risk for adverse outcomes despite successful procedures. Sodium-glucose cotransporter-2 inhibitors (SGLT2i) improve outcomes in heart failure, but their long-term impact after TAVI is not well established. Materials and Methods: This single-center retrospective study included patients with LVEF &lt; 50% who underwent transfemoral TAVI between January 2015 and September 2025. Patients were stratified according to SGLT2i use. The primary outcome was a composite of all-cause mortality and heart failure (HF) hospitalization requiring intravenous diuretics. Secondary outcomes included all-cause mortality, HF hospitalization, and changes in echocardiographic parameters at 6 months. Inverse probability of treatment weighting (IPTW) based on propensity scores was applied to adjust for baseline differences. Time-to-event analyses were performed using IPTW-weighted Cox models and adjusted survival curves. Results: The study included 226 patients (78 SGLT2i users, 148 non-users) with a median follow-up of 37 months. After IPTW adjustment, SGLT2i use was associated with a lower rate of the composite outcome (32.8% vs. 50.8%, p = 0.019) and a lower crude long-term mortality (32.8% vs. 47.4%, p = 0.056). Acute kidney injury after TAVI occurred less frequently among SGLT2i users (3.4% vs. 17.4%, p = 0.013). In IPTW-weighted Cox analyses, SGLT2i use was associated with a reduced risk of all-cause mortality (HR 0.57, 95% CI 0.32-0.98) and the composite outcome (HR 0.56, 95% CI 0.33-0.96). SGLT2i users demonstrated greater reductions in left ventricular end-diastolic diameter at 6 months. Conclusions: In patients with impaired LVEF undergoing TAVI, SGLT2 inhibitor therapy was associated with improved long-term survival, better composite outcome-free survival, and lower rates of post-TAVI acute kidney injury. Larger prospective studies are warranted to confirm these findings.</x:t>
  </x:si>
  <x:si>
    <x:t xml:space="preserve">Keskin B; Hakgor A; Khidolda Y; Dursun A; Akhundova A; Savur U; Olgun FE; Onder O; Gul YG; Cakal B; Demir B; Gunes HM; Karaca IO; Guler E; Boztosun B</x:t>
  </x:si>
  <x:si>
    <x:t xml:space="preserve">Medicina (Kaunas, Lithuania)</x:t>
  </x:si>
  <x:si>
    <x:t xml:space="preserve">10.3390/medicina62030535</x:t>
  </x:si>
  <x:si>
    <x:t xml:space="preserve">41901616</x:t>
  </x:si>
  <x:si>
    <x:t xml:space="preserve">https://pubmed.ncbi.nlm.nih.gov/41901616/</x:t>
  </x:si>
  <x:si>
    <x:t xml:space="preserve">SCR_000088</x:t>
  </x:si>
  <x:si>
    <x:t xml:space="preserve">Efficacy and Safety of Sodium-Glucose Cotransporter 2 Inhibitors in Heart Transplant Recipients: A Systematic Review and Meta-analyses.</x:t>
  </x:si>
  <x:si>
    <x:t xml:space="preserve">BACKGROUND: Sodium-glucose cotransporter 2 inhibitors (SGLT2i) have demonstrated efficacy and safety in patients with type 2 diabetes mellitus, chronic kidney disease, and heart failure. However, their effects in heart transplant recipients, a population with high cardiovascular risk, remain poorly understood. METHODS: Clinical trials and observational studies were included. A systematic search was conducted in PubMed, Scopus, EMBASE, and Web of Science. Mean differences (MD) were calculated for continuous outcomes and risk ratios (RR) for binary outcomes, both with 95% confidence intervals (CI). Analyses were performed using RevMan version 5.4.1. RESULTS: Five retrospective cohort studies including 1512 heart transplant recipients (312 SGLT2i users and 1200 controls) were analyzed. SGLT2i use was not associated with significant changes in renal function (MD in eGFR: 3.96 mL/min/1.73 m2; 95% CI: - 2.33 to 10.26; p = 0.22) or glycemic control (MD in HbA1c: - 0.20%; 95% CI: - 0.73 to 0.34; p = 0.47). Mortality was comparable between groups (RR: 0.64; 95% CI: 0.29-1.40; p = 0.26), with no significant increase in urinary tract infections (RR: 1.40; 95% CI: 0.25-7.72; p = 0.70). However, SGLT2i use was associated with significant reductions in body mass index (MD: - 0.90 kg/m2; 95% CI: - 1.67 to - 0.14; p = 0.02) and systolic blood pressure (MD: - 4.69 mmHg; 95% CI: - 7.27 to - 2.12; p &lt; 0.001). CONCLUSIONS: In heart transplant recipients, the use of SGLT2 inhibitors was not associated with significant improvements in renal function or glycemic control and did not increase mortality or the incidence of urinary tract infections. However, SGLT2 inhibitor therapy was associated with significant reductions in body mass index and systolic blood pressure, suggesting a potential cardiometabolic benefit in this high-risk population. Given that hypertension and obesity are well-established cardiovascular risk factors and that hypertension, in particular, is a common complication among heart transplant recipients, these blood pressure and weight-lowering effects may be clinically meaningful. SYSTEMATIC REVIEW REGISTRATION: PROSPERO CRD420251057335.</x:t>
  </x:si>
  <x:si>
    <x:t xml:space="preserve">Cahuapaza-Gutierrez NL; Calderon-Hernandez CC; Umeres-Bravo MM; Villavicencio-Escudero TV</x:t>
  </x:si>
  <x:si>
    <x:t xml:space="preserve">American journal of cardiovascular drugs : drugs, devices, and other interventions</x:t>
  </x:si>
  <x:si>
    <x:t xml:space="preserve">10.1007/s40256-026-00792-x</x:t>
  </x:si>
  <x:si>
    <x:t xml:space="preserve">41860728</x:t>
  </x:si>
  <x:si>
    <x:t xml:space="preserve">Journal Article; Systematic Review; Meta-Analysis</x:t>
  </x:si>
  <x:si>
    <x:t xml:space="preserve">https://pubmed.ncbi.nlm.nih.gov/41860728/</x:t>
  </x:si>
  <x:si>
    <x:t xml:space="preserve">SCR_000089</x:t>
  </x:si>
  <x:si>
    <x:t xml:space="preserve">Perioperative and Long-Term Cardiorenal Outcomes of SGLT2 Inhibitors in Cardiac Surgery Patients: A Systematic Review and Meta-Analysis.</x:t>
  </x:si>
  <x:si>
    <x:t xml:space="preserve">BACKGROUND: Cardiac-surgery-associated acute kidney injury (CSA-AKI) occurs in 20–30% of patients undergoing valve surgery or CABG and is linked to prolonged ICU stay, increased costs, and higher mortality. Sodium-glucose cotransporter 2 inhibitors (SGLT2i), initially for diabetes, confer cardiovascular and renal protection. We conducted the first meta-analysis to evaluate perioperative SGLT2i use in cardiac surgery patients. METHODS: Randomized controlled trials and observational studies evaluating SGLT2i in cardiac surgery patients were identified through comprehensive database searches to July 2025. Risk of bias was assessed with RoB 2.0 and the Newcastle–Ottawa Scale. Pooled effect estimates were calculated as risk ratios (RR) with 95% confidence intervals using Mantel–Haenszel random-effects models. Heterogeneity was quantified with I², with prespecified subgroup and sensitivity analyses performed. RESULTS: Perioperative SGLT2i use significantly reduced acute kidney injury (RR 0.39, 95% CI 0.29–0.53; I²=1%). Secondary outcomes showed reduced heart failure hospitalization (RR 0.49, 95% CI 0.36–0.67; I²=0%) and major adverse cardiovascular events (RR 0.64, 95% CI 0.48–0.85; I²=50%). A reduction in mortality was observed (RR 0.51, 95% CI 0.30–0.86; I²=47%), although this effect was primarily driven by observational studies and not confirmed in randomized trials. No significant differences were observed for stroke, myocardial infarction, hypoglycaemia, or urinary tract infection. CONCLUSION: Perioperative SGLT2 inhibitor use was associated with improved renal and cardiovascular outcomes after cardiac surgery. While a mortality benefit was suggested, it was not confirmed in randomized trials. Larger, high-quality RCTs are required to establish definitive efficacy and guide perioperative use.</x:t>
  </x:si>
  <x:si>
    <x:t xml:space="preserve">Rajpar NA; Meghwar S; Nabi R; Khaskheli SA; Khan S; Rehman A; Fatima M; Abbasi SUAM; Shaikh N; Nabi Z; Ahmed S; Ahmed R</x:t>
  </x:si>
  <x:si>
    <x:t xml:space="preserve">10.1007/s10557-026-07848-9</x:t>
  </x:si>
  <x:si>
    <x:t xml:space="preserve">41860647</x:t>
  </x:si>
  <x:si>
    <x:t xml:space="preserve">https://pubmed.ncbi.nlm.nih.gov/41860647/</x:t>
  </x:si>
  <x:si>
    <x:t xml:space="preserve">SCR_000090</x:t>
  </x:si>
  <x:si>
    <x:t xml:space="preserve">Sodium-glucose cotransporter 2 inhibitor use and outcomes after surgical aortic valve replacement.</x:t>
  </x:si>
  <x:si>
    <x:t xml:space="preserve">OBJECTIVE: Sodium-glucose cotransporter 2 inhibitors have demonstrated mortality and heart failure hospitalization benefits across cardiovascular populations. However, their impact on patients with severe aortic stenosis undergoing surgical aortic valve replacement, with or without concomitant coronary artery bypass grafting, remains unclear. This study evaluated clinical outcomes associated with sodium-glucose cotransporter 2 inhibitor use in a real-world surgical aortic valve replacement population. METHODS: Patients who underwent surgical aortic valve replacement or combined surgical aortic valve replacement and coronary artery bypass grafting between 2014 and 2025 were reviewed. The inclusion criteria were consistent with contemporary trials including severe aortic valve replacement with left ventricular ejection fraction 40% or less, estimated glomerular filtration rate 25 to 75 mL/min/1.73 m2, or type 2 diabetes mellitus. Propensity score matching was used to adjust for baseline differences. The primary outcome was all-cause mortality. Secondary outcomes included stroke, heart failure hospitalization, atrial fibrillation admission, and all-cause rehospitalization. RESULTS: A total of 2930 patients (age 76 [69-83] years, 40.3% female) were included, of whom 85 (2.9%) received sodium-glucose cotransporter 2 inhibitor therapy. In the overall cohort, sodium-glucose cotransporter 2 inhibitor use was associated with significantly lower 5-year all-cause mortality compared with nonuse (13.6% vs 33.5%, log-rank P = .022). After matching, mortality remained lower among sodium-glucose cotransporter 2 inhibitor users (13.8% vs 25.8%, P = .012), with reduced stroke incidence (2.0% vs 19.3%; P = .046) and no significant differences in atrial fibrillation or rehospitalization. CONCLUSIONS: In patients undergoing surgical aortic valve replacement, perioperative sodium-glucose cotransporter 2 inhibitor therapy was associated with improved 5-year survival and reduced stroke risk. These observational findings are hypothesis generating and support further investigation of sodium-glucose cotransporter 2 inhibitors in prospective, randomized studies in the surgical valve population.</x:t>
  </x:si>
  <x:si>
    <x:t xml:space="preserve">Jacquemyn X; Hasan I; Ogami T; Serna-Gallegos D; Bonatti J; Abdullah M; Chu D; Kaczorowski DJ; Sultan I</x:t>
  </x:si>
  <x:si>
    <x:t xml:space="preserve">The Journal of thoracic and cardiovascular surgery</x:t>
  </x:si>
  <x:si>
    <x:t xml:space="preserve">10.1016/j.jtcvs.2026.02.037</x:t>
  </x:si>
  <x:si>
    <x:t xml:space="preserve">41831709</x:t>
  </x:si>
  <x:si>
    <x:t xml:space="preserve">https://pubmed.ncbi.nlm.nih.gov/41831709/</x:t>
  </x:si>
  <x:si>
    <x:t xml:space="preserve">SCR_000091</x:t>
  </x:si>
  <x:si>
    <x:t xml:space="preserve">Beneficial Effects of Canagliflozin in Heart Failure Associated With Cardiac and Surgical Procedures.</x:t>
  </x:si>
  <x:si>
    <x:t xml:space="preserve">Heart failure is a significant complication following cardiac surgery. While sodium-glucose co-transporter-2 (SGLT2) inhibitors show established benefits in chronic heart failure, their specific role in the perioperative setting remains poorly defined. This review aims to consolidate the current evidence on the beneficial effects and underlying mechanisms of canagliflozin in managing heart failure associated with cardiac surgery. A narrative review of relevant preclinical animal studies and clinical trials was conducted to integrate and summarize the existing data. The evidence demonstrates that canagliflozin confers cardiovascular protection through multifaceted mechanisms, including improved metabolic regulation, favorable hemodynamic effects, and potent anti-inflammatory and anti-fibrotic actions. These mechanisms are highly relevant to mitigating key pathophysiological insults in the perioperative period. While current clinical data are limited to observational studies, they suggest promising benefits for canagliflozin in reducing postoperative cardiovascular complications. Canagliflozin shows considerable potential as a therapeutic agent for patients with heart failure related to cardiac surgery. However, definitive evidence from large-scale, multicenter randomized controlled trials is warranted to confirm its efficacy and safety, and to optimize perioperative management strategies.</x:t>
  </x:si>
  <x:si>
    <x:t xml:space="preserve">Dong Y; Zhou F; Chi L; Mu J</x:t>
  </x:si>
  <x:si>
    <x:t xml:space="preserve">Reviews in cardiovascular medicine</x:t>
  </x:si>
  <x:si>
    <x:t xml:space="preserve">10.31083/rcm46719</x:t>
  </x:si>
  <x:si>
    <x:t xml:space="preserve">41789314</x:t>
  </x:si>
  <x:si>
    <x:t xml:space="preserve">Journal Article; Review</x:t>
  </x:si>
  <x:si>
    <x:t xml:space="preserve">https://pubmed.ncbi.nlm.nih.gov/41789314/</x:t>
  </x:si>
  <x:si>
    <x:t xml:space="preserve">SCR_000092</x:t>
  </x:si>
  <x:si>
    <x:t xml:space="preserve">Association of GLP-1 Receptor Agonist and SGLT2 Inhibitor With Cardiovascular Outcomes After Transcatheter Aortic Valve Replacement.</x:t>
  </x:si>
  <x:si>
    <x:t xml:space="preserve">Aortic valve disease is the most common valvular disease and is often seen in the elderly population. Transcatheter aortic valve replacement (TAVR) is a favorable and rapidly evolving intervention. Despite highly effective procedural outcomes, the TAVR population remains at high risk for heart failure and death, and medical therapy after TAVR is understudied. Diabetic medications including GLP-1 receptor agonists (GLP-1 RA) and SGLT2 inhibitors (SGLT2i) have had emerging data suggesting cardioprotective effects. In this study, we aim to evaluate cardiovascular outcomes in post-TAVR patients who are treated with GLP-1 RA, SGLT2i, or both compared to those who are not treated. Using TriNetX, we identified a cohort of patients who underwent a TAVR procedure and then classified them as treated with GLP-1 RA, SGLT2i, both, or none. After propensity matching for demographics, comorbidities, and medications, patient outcomes for all-cause mortality (ACM) and cardiovascular disorders were evaluated using a Kaplan-Meier analysis. Our results showed a decrease in ACM in those who were on GLP-1 RA after TAVR compared to those who were not. There was also a statistically significant decrease in arrhythmia in patients on SGLT2i after TAVR compared to those who were not. When GLP-1 RA and SGLT2i were combined, there was a decrease in ACM, myocardial infarction, acute heart failure, and arrhythmia after TAVR compared to those who were not. In conclusion, these findings further suggest cardioprotective effects of these drugs in patients treated with TAVR. Future trials should further investigate the role of these medications in patients with aortic valve stenosis.</x:t>
  </x:si>
  <x:si>
    <x:t xml:space="preserve">Fahoury AM; Kamel-Abusalha L; Didier AJ; Wunderly K; Sarrouj S; Issa R; Afifi A; Gupta R</x:t>
  </x:si>
  <x:si>
    <x:t xml:space="preserve">The American journal of cardiology</x:t>
  </x:si>
  <x:si>
    <x:t xml:space="preserve">10.1016/j.amjcard.2026.02.043</x:t>
  </x:si>
  <x:si>
    <x:t xml:space="preserve">41765256</x:t>
  </x:si>
  <x:si>
    <x:t xml:space="preserve">https://pubmed.ncbi.nlm.nih.gov/41765256/</x:t>
  </x:si>
  <x:si>
    <x:t xml:space="preserve">SCR_000093</x:t>
  </x:si>
  <x:si>
    <x:t xml:space="preserve">Renal Protection at a Metabolic Cost: A Systematic Review and Meta-Analysis of Perioperative Use of Sodium-Glucose Cotransporter 2 Inhibitors.</x:t>
  </x:si>
  <x:si>
    <x:t xml:space="preserve">INTRODUCTION: Concerns about diabetic ketoacidosis (DKA) and euglycemic ketoacidosis (eKA) are balanced against possible organ-protective benefits in the debated perioperative management of sodium-glucose cotransporter-2 (SGLT2) inhibitors. This meta-analysis compared the perioperative clinical and laboratory outcomes associated with perioperative exposure to SGLT2i. METHODS: Through July 31, 2025, we searched PubMed, Web of Science, Scopus, and CENTRAL for observational studies and randomised controlled trials comparing the outcomes of preoperative use of SGLT2 inhibitors with non-use in patients undergoing cardiac or non-cardiac surgery. We pooled data using a random-effects model and investigated heterogeneity using leave-one-out sensitivity analyses. PROSPERO-ID: CRD420251155809. RESULTS: There were 10 studies comprising 246,242 patients. Due to considerable heterogeneity, the primary pooled analysis revealed no significant association between SGLT2 inhibitor use and either eKA (OR 4.86; p = 0.11) or DKA (OR 2.21; p = 0.11). However, a significant increase in the risk of eKA (OR 1.11; p &lt; 0.001) and DKA (OR 5.33; p &lt; 0.001) was observed using leave-one-out sensitivity analysis to identify outliers. On the other hand, the usage of SGLT2 inhibitors was associated with a statistically significant decrease in both mortality (OR 0.73; p = 0.006) and acute renal injury (OR 0.68; p &lt; 0.0001). The SGLT2 inhibitor group had significantly lower perioperative pH, base excess, and blood glucose levels. CONCLUSION: The use of perioperative SGLT2 inhibitors poses a clinical paradox between significant renoprotection and survival advantages and a latent risk of ketoacidosis concealed by considerable heterogeneity. While metabolic monitoring is essential, current surgeries requiring more prolonged withholding may need to weigh metabolic risk against the drug's significant benefit in reducing acute kidney injury and mortality.</x:t>
  </x:si>
  <x:si>
    <x:t xml:space="preserve">Balbaa E; Gadelmawla AF; Ibrahim A; Manasrah A; Elbataa A; Shubietah A; Elgendy MS; Sobhy A; Mansour A; Awashra A; Elguindy NN; Bazzazeh M; Ben-Selma A</x:t>
  </x:si>
  <x:si>
    <x:t xml:space="preserve">Endocrinology, diabetes &amp; metabolism</x:t>
  </x:si>
  <x:si>
    <x:t xml:space="preserve">10.1002/edm2.70180</x:t>
  </x:si>
  <x:si>
    <x:t xml:space="preserve">41721639</x:t>
  </x:si>
  <x:si>
    <x:t xml:space="preserve">Journal Article; Meta-Analysis; Systematic Review</x:t>
  </x:si>
  <x:si>
    <x:t xml:space="preserve">https://pubmed.ncbi.nlm.nih.gov/41721639/</x:t>
  </x:si>
  <x:si>
    <x:t xml:space="preserve">SCR_000094</x:t>
  </x:si>
  <x:si>
    <x:t xml:space="preserve">Insulin or Dapagliflozin Potentially Improves Microcirculatory Dysfunction or INOCA Related to Culprit Vessels in Diabetic Patients With STEMI After DCB Therapy During Long-Term Follow-Up.</x:t>
  </x:si>
  <x:si>
    <x:t xml:space="preserve">BACKGROUND: This study aims to investigate the relationship between risk factors and IRA-related microcirculatory dysfunction, as well as its pharmacological intervention in the context of STEMI treatment using DCB over a two-year period, especially in those with diabetes. METHODS: This retrospective study enrolled 297 consecutive eligible patients diagnosed with STEMI who received DCB treatment from two centers. Clinical and procedure-related parameters were collected. AMR and adverse cardiac events were recorded. RESULTS: Immediately after DCB therapy, IRA-AMR in non-diabetes or good-glycemic control group was significantly smaller than that in diabetes or poor-glycemic control group (p &lt; 0.01). Compared with insulin or dapagliflozin group, IRA-AMR in non-insulin or non-dapagliflozin group was significantly higher (p &lt; 0.01). Univariate and multivariate Cox regression indicated that diabetes was a significant predictor of IRA-INOCA after a 2-year follow-up (p &lt; 0.05). Furthermore, administration of anti-diabetic medications and poor glycemic control post DCB treatment surfaced as significant predictors (p &lt; 0.01). Diabetic patients exhibited a significantly higher incidence of cardiac death along with IRA-INOCA complications compared to their non-diabetic counterparts (p &lt; 0.01). IRA-AMR in diabetic individuals immediately following DCB treatment was significantly lower than those in individuals who experienced inadequate-glycemic management and were readmitted due to IRA-INOCA complications (p &lt; 0.01). The incidence of IRA-INOCA in good-glycemic control, insulin, or dapagliflozin group was significantly lower compared with that in poor-glycemic control, non-insulin, or non-dapagliflozin group (p &lt; 0.05). CONCLUSIONS: This finding highlights the importance of managing glycemic control, especially using insulin or dapagliflozin, in diabetic patients with STEMI after DCB treatment. Such measures may improve long-term cardiovascular outcomes.</x:t>
  </x:si>
  <x:si>
    <x:t xml:space="preserve">You W; Ma X; Xu Y; Jin X; Mao W; Ji M; Huang T; Meng P; Xu T; Wang Y; Zhang T; Wu Z; Ye F; Wu X</x:t>
  </x:si>
  <x:si>
    <x:t xml:space="preserve">Journal of diabetes</x:t>
  </x:si>
  <x:si>
    <x:t xml:space="preserve">10.1111/1753-0407.70197</x:t>
  </x:si>
  <x:si>
    <x:t xml:space="preserve">41699984</x:t>
  </x:si>
  <x:si>
    <x:t xml:space="preserve">Journal Article; Multicenter Study</x:t>
  </x:si>
  <x:si>
    <x:t xml:space="preserve">https://pubmed.ncbi.nlm.nih.gov/41699984/</x:t>
  </x:si>
  <x:si>
    <x:t xml:space="preserve">SCR_000095</x:t>
  </x:si>
  <x:si>
    <x:t xml:space="preserve">Impact of Sodium-Glucose Cotransporter 2 Inhibitors on Acute Kidney Injury Post Off-Pump Coronary Artery Bypass Grafting: A Retrospective Cohort Study and Meta-Analysis.</x:t>
  </x:si>
  <x:si>
    <x:t xml:space="preserve">BACKGROUND: Sodium-glucose cotransporter 2 (SGLT2) inhibitors, a novel class of oral antihyperglycemic medications prescribed for type 2 diabetes mellitus, play a beneficial role in slowing the progression of heart failure. However, debate persists regarding the potential link of these inhibitors to acute kidney injury (AKI) in specific clinical conditions. METHODS: This study was a retrospective analysis of consecutive patients receiving off-pump coronary artery bypass grafting (OPCABG) at our institution between January 2018 and July 2023. A group of patients who had been administered SGLT2 inhibitors was systematically compared with non-users in a 1:3 ratio using propensity score matching. The principal endpoint was postoperative AKI after OPCABG. In addition, we performed a comprehensive meta-analysis of the associations between SGLT2 inhibitor therapy and AKI risk. The analytical approach combined institutional data with aggregated findings from existing literature. RESULTS: The analysis encompassed 403 patients who administered SGLT2 inhibitors and 1209 non-users. AKI developed in 54 cases (13.4%) post-OPCABG among individuals who received SGLT2 inhibitors, compared to 373 cases (30.9%) in the control cohort. Statistical analysis demonstrated significantly reduced AKI prevalence in the SGLT2 inhibitor cohort compared to non-users (p &lt; 0.001). The meta-analysis results confirmed a protective association between SGLT2 inhibitor therapy and AKI risk reduction (odds ratio (OR) = 0.525, 95% confidence interval (CI) 0.437-0.631; p &lt; 0.001). CONCLUSION: In this study, SGLT2 inhibitor administration was associated with a decreased incidence of postoperative AKI in OPCABG patients. CLINICAL TRIAL REGISTRATION: NCT05888168, https://clinicaltrials.gov/study/NCT05888168?cond=NCT05888168&amp;rank=1.</x:t>
  </x:si>
  <x:si>
    <x:t xml:space="preserve">Zhou X; Pan Y; Hua K; Yang X</x:t>
  </x:si>
  <x:si>
    <x:t xml:space="preserve">10.31083/rcm39400</x:t>
  </x:si>
  <x:si>
    <x:t xml:space="preserve">41659092</x:t>
  </x:si>
  <x:si>
    <x:t xml:space="preserve">https://pubmed.ncbi.nlm.nih.gov/41659092/</x:t>
  </x:si>
  <x:si>
    <x:t xml:space="preserve">SCR_000096</x:t>
  </x:si>
  <x:si>
    <x:t xml:space="preserve">Amino acid infusion and SGLT2 inhibitors for kidney protection: Plausible adverse impact of tubular transport load on renal tissue oxygenation.</x:t>
  </x:si>
  <x:si>
    <x:t xml:space="preserve">Amino acids and SGLT2 inhibitors (SGLT2i) have recently been reported to attenuate the risk of hypoxic acute kidney injury (AKI), determined by changes in estimated glomerular filtration rate (GFR) following cardiac surgery and interventions with radiocontrast media, respectively. Yet, strategies to prevent or treat hypoxic AKI by the intensification of GFR, such as the administration of amino acids, in fact may predispose to intensified renal hypoxia and potential injury through enhanced tubular transport activity. Likewise, SGLT2i may intensify medullary hypoxia by translocating oxygen consumption for tubular transport from proximal to distal nephron segments. The outer medulla is particularly susceptible to hypoxic AKI, since intense regional oxygen consumption is barely met by a limited local blood supply, as reflected by low ambient oxygenation under normal conditions. In fact, declining GFR during AKI to large extent attenuates medullary hypoxia by the reduction of solute delivery for reabsorption in the distal nephron. Therefore, as outlined in this review, despite encouraging clinical outcomes, the safety, regarding renal parenchymal integrity, of enhancing GFR with amino acid infusion or by translocation of tubular transport to distal nephron segments by SGLT2i, administered to prevent AKI, should be assured, possibly by the determination of biomarkers of renal injury. Changes in renal oxygen expenditure, particularly within the hypoxic medulla should be considered in designing therapeutic interventions, conceivably with efforts aimed at reducing, rather than enhancing medullary tubular transport.</x:t>
  </x:si>
  <x:si>
    <x:t xml:space="preserve">Heyman SN; Rosen S; Brezis M; Abassi Z</x:t>
  </x:si>
  <x:si>
    <x:t xml:space="preserve">Biomedicine &amp; pharmacotherapy = Biomedecine &amp; pharmacotherapie</x:t>
  </x:si>
  <x:si>
    <x:t xml:space="preserve">10.1016/j.biopha.2025.118933</x:t>
  </x:si>
  <x:si>
    <x:t xml:space="preserve">41496340</x:t>
  </x:si>
  <x:si>
    <x:t xml:space="preserve">https://pubmed.ncbi.nlm.nih.gov/41496340/</x:t>
  </x:si>
  <x:si>
    <x:t xml:space="preserve">SCR_000097</x:t>
  </x:si>
  <x:si>
    <x:t xml:space="preserve">Relationship between the stress-hyperglycemia ratio and atrial fibrillation recurrence risk after radiofrequency catheter ablation: a retrospective study.</x:t>
  </x:si>
  <x:si>
    <x:t xml:space="preserve">BACKGROUND: The stress hyperglycemia ratio (SHR) is linked to cardiovascular outcomes. However, its role in predicting atrial fibrillation (AF) recurrence after radiofrequency catheter ablation (RFCA) remains unclear. Therefore, this study investigated the SHR as a potential prognostic biomarker for post-RFCA AF recurrence. METHODS: In this retrospective cohort study, 446 symptomatic non-valvular atrial fibrillation patients who underwent radiofrequency catheter ablation were followed for 12-26 months. The stress hyperglycemia ratio (SHR) was calculated as admission fasting blood glucose (mmol/L)/[1.59 × HbA1c (%)-2.59]. Patients were classified based on SHR levels. The primary endpoint was atrial fibrillation recurrence, and the secondary endpoints were cardiovascular events and a composite endpoint comprising relevant clinical outcomes. RESULTS: AF recurrence occurred in 128 patients (28.7%). Patients in the recurrence group exhibited significantly higher SHR levels (p &lt; 0.001). Receiver operating characteristic (ROC) analysis identified an optimal SHR cutoff value of 0.91 for predicting recurrence. Furthermore, even after multivariable adjustment for diabetes, alcohol consumption, antiarrhythmic drug use, SGLT2 inhibitor use, left atrial diameter (LAD), and uric acid levels, elevated SHR remained significantly associated with AF recurrence (HR: 3.379, 95% CI: 2.272-5.025, P &lt; 0.001). ROC analysis demonstrated that SHR had superior predictive performance compared with other glycemic parameters, with an area under the curve (AUC) of 0.79 (95% CI: 0.74-0.84), yielding a sensitivity of 79.7% and a specificity of 68.4%. A prognostic nomogram incorporating six independent predictors was developed to estimate 1- and 2-year recurrence-free survival. Formal interaction tests indicated no significant effect modification by diabetes status (P for interaction = 0.432), with consistent SHR-associated recurrence risks observed in both diabetic and non-diabetic subgroups. Sensitivity analyses confirmed the robustness of these findings, as statistical significance was maintained after excluding patients with prior open-heart surgery and when modeling SHR as tertiles. CONCLUSIONS: The increase in SHR is significantly correlated with atrial fibrillation recurrence and composite events after RFCA. These findings support its potential clinical application value in improving risk stratification and prognostic assessment of this patient population.</x:t>
  </x:si>
  <x:si>
    <x:t xml:space="preserve">Li ML; Zhu NJ; Wang Z; Fan TT; Wang XC; Yang X</x:t>
  </x:si>
  <x:si>
    <x:t xml:space="preserve">Frontiers in cardiovascular medicine</x:t>
  </x:si>
  <x:si>
    <x:t xml:space="preserve">10.3389/fcvm.2025.1699551</x:t>
  </x:si>
  <x:si>
    <x:t xml:space="preserve">41409745</x:t>
  </x:si>
  <x:si>
    <x:t xml:space="preserve">https://pubmed.ncbi.nlm.nih.gov/41409745/</x:t>
  </x:si>
  <x:si>
    <x:t xml:space="preserve">SCR_000098</x:t>
  </x:si>
  <x:si>
    <x:t xml:space="preserve">Preoperative SGLT2i therapy and acute kidney injury in patients undergoing emergency and urgent coronary artery bypass grafting - A causal inference framework.</x:t>
  </x:si>
  <x:si>
    <x:t xml:space="preserve">BACKGROUND: Acute kidney injury (AKI) is a common complication after coronary artery bypass grafting (CABG), associated with adverse short- and long-term outcomes. Sodium-glucose cotransporter-2 inhibitors (SGLT2i) have been shown to reduce occurrence of AKI in several populations, yet their perioperative effects in patients undergoing CABG are unknown. METHODS: We conducted a retrospective study at the Department of Cardiac Surgery, Medical University of Graz (2020-2024) to evaluate the impact of preoperative SGLT2i use on cardiac surgery-associated AKI in adults undergoing urgent or emergent isolated coronary artery bypass grafting in patients with an indication for SGLT2i therapy (type 2 diabetes mellitus, heart failure with reduced ejection fraction, or chronic kidney disease). Patients with preoperative dialysis, sepsis, reoperation, mechanical circulatory support or missing laboratory data were excluded. Exposure was defined as SGLT2i use within two weeks before surgery, and the primary outcome was cardiac surgery-associated AKI (CSA-AKI) according to KDIGO criteria. Secondary outcomes included kidney replacement therapy, ICU length of stay, 30-day mortality and postoperative diabetic ketoacidosis. Causal effects were estimated using entropy balancing. Results were reported as weighted risk differences, risk ratios, and adjusted mean differences, with time-to-event outcomes analyzed via weighted Cox models and Kaplan-Meier estimates. RESULTS: Among 484 patients, 135 were on SGLT2i. CSA-AKI occurred in 23.0 % of SGLT2i users vs. 28.1 % of non-users (risk ratio of 0.63 [95 % CI 0.44-0.91; p = 0.014]). The association was pronounced in patients with heart failure with reduced ejection fraction and those with high EuroSCORE II. No differences were observed in other secondary endpoints and no cases of postoperative diabetic ketoacidosis occurred. CONCLUSION: Preoperative SGLT2i use was associated with a significantly lower risk of CSA-AKI in patients undergoing urgent or emergent CABG. These findings need to be confirmed in prospective multicenter trials but underline the favorable safety profile of this medication.</x:t>
  </x:si>
  <x:si>
    <x:t xml:space="preserve">Kolland M; Sartori S; Klivinyi C; Schörghuber M; Pannold J; Knez I; Kirsch AH; Schreiber N</x:t>
  </x:si>
  <x:si>
    <x:t xml:space="preserve">10.1016/j.jclinane.2025.112103</x:t>
  </x:si>
  <x:si>
    <x:t xml:space="preserve">41401740</x:t>
  </x:si>
  <x:si>
    <x:t xml:space="preserve">Journal Article; Research Support, Non-U.S. Gov't</x:t>
  </x:si>
  <x:si>
    <x:t xml:space="preserve">https://pubmed.ncbi.nlm.nih.gov/41401740/</x:t>
  </x:si>
  <x:si>
    <x:t xml:space="preserve">SCR_000099</x:t>
  </x:si>
  <x:si>
    <x:t xml:space="preserve">Comparative Long-Term Cardiovascular Outcomes of Empagliflozin and Dapagliflozin in Heart Failure Patients After Coronary Revascularization: A Retrospective Cohort Study.</x:t>
  </x:si>
  <x:si>
    <x:t xml:space="preserve">Background: Empagliflozin and dapagliflozin are the most widely prescribed sodium-glucose cotransporter-2 inhibitors (SGLT2i) with established cardioprotective benefits across the spectrum of heart failure (HF). However, direct comparative data remain limited, particularly in patients with a history of coronary revascularization-a population at persistently high cardiovascular (CV) risk. This study aimed to compare the long-term cardiovascular outcomes of empagliflozin versus dapagliflozin in revascularized HF patients who had undergone coronary artery bypass grafting (CABG) or percutaneous coronary intervention (PCI). Methods: This retrospective cohort study included 631 HF patients who had undergone coronary revascularization (CABG or PCI) and were treated with an SGLT2 inhibitor (353 dapagliflozin, 278 empagliflozin) between 2014 and 2022 at a tertiary cardiovascular center. Patients were stratified by left ventricular ejection fraction (LVEF ≥ 50%: HFpEF; LVEF &lt; 50%: HFrEF/HFmrEF). The primary outcomes were all-cause mortality, cardiac mortality, major adverse cardiovascular events (MACE), cardiac MACE, and HF-related hospitalization. Cox regression analyses-including time-dependent covariates-were performed to identify independent predictors of cardiac MACE. Results: Baseline demographic, clinical, and biochemical characteristics were comparable between groups. During a mean follow-up of 19.6 ± 1.5 months, there were no significant differences between dapagliflozin and empagliflozin in all-cause mortality (19.3% vs. 19.8%), cardiac mortality (11.0% vs. 12.2%), MACE (25.8% vs. 26.3%), cardiac MACE (23.8% vs. 21.9%), or hospitalization (23.8% vs. 23.7%) (all p &gt; 0.05). Subgroup analyses by LVEF yielded consistent findings. In time-adjusted Cox modeling, age (HR = 2.089; 95% CI: 1.723-2.533; p &lt; 0.001) and atrial fibrillation (AF) (log-rank p = 0.030) were identified as significant predictors of cardiac MACE, while creatinine and NT-proBNP lost significance after adjustment. Both age and AF showed time-varying hazard effects, with risk attenuation over time. Conclusions: In this real-world cohort of revascularized HF patients, empagliflozin and dapagliflozin demonstrated comparable long-term cardiovascular outcomes, supporting a class effect of SGLT2 inhibitors in this high-risk population. Beyond pharmacologic comparison, age and AF emerged as dynamic predictors of cardiac MACE, highlighting the importance of longitudinal, time-dependent risk assessment in heart failure management following coronary revascularization.</x:t>
  </x:si>
  <x:si>
    <x:t xml:space="preserve">Ozgol I; Yildiz C; Yigit Gencer E; Karabulut D; Caglar FNT; Bicakhan B; Yilmaz M; Karabulut U; Gokkurt Y; Yigit Z</x:t>
  </x:si>
  <x:si>
    <x:t xml:space="preserve">10.3390/jcm14238383</x:t>
  </x:si>
  <x:si>
    <x:t xml:space="preserve">41375685</x:t>
  </x:si>
  <x:si>
    <x:t xml:space="preserve">https://pubmed.ncbi.nlm.nih.gov/41375685/</x:t>
  </x:si>
  <x:si>
    <x:t xml:space="preserve">SCR_000100</x:t>
  </x:si>
  <x:si>
    <x:t xml:space="preserve">Postoperative Ketoacidosis in Cardiac Surgery: Incidence, Analytical Profile, and Association With Sodium-Glucose Cotransporter 2 Inhibitors-A Prospective Observational Study.</x:t>
  </x:si>
  <x:si>
    <x:t xml:space="preserve">OBJECTIVE: To determine the incidence of postoperative ketoacidosis after elective cardiac surgery and to evaluate its association with sodium-glucose cotransporter 2 (SGLT2) inhibitor therapy and perioperative biochemical parameters. DESIGN: A prospective observational study. SETTING: Cardiac intensive care unit of a tertiary academic hospital in Madrid, Spain, between July 2024 and May 2025. PARTICIPANTS: Adult patients undergoing elective cardiac surgery. Patients undergoing emergency procedures or those without informed consent were excluded. INTERVENTIONS: Standard perioperative care. Arterial blood gases and capillary ketone measurements were obtained at intensive care unit (ICU) admission (defined as postoperative hour 0), at postoperative hour 6, and at postoperative hour 16. MEASUREMENTS AND MAIN RESULTS: Postoperative ketoacidosis was defined as arterial pH &lt;7.30 and ketonemia ≥0.6 mmol/L in the absence of preoperative ketoacidosis. A total of 107 patients were included (28 SGLT2 inhibitor users and 79 nonusers). Postoperative ketoacidosis occurred in 17 of 28 patients (54.8%) receiving SGLT2 inhibitors, compared with 8 of 79 (10.1%) in the non-SGLT2 inhibitor group (p &lt; 0.001). Diabetes mellitus was independently associated with ketoacidosis (odds ratio, 5.13; p = 0.001). Patients with ketoacidosis had lower arterial pH (7.31 v 7.35, p &lt; 0.001), lower bicarbonate (21.6 v 22.8 mmol/L, p = 0.012), and more negative base excess (-4.2 v -2.6, p = 0.03). No significant differences were observed in ICU length of stay, duration of mechanical ventilation, reintervention, or mortality. CONCLUSIONS: Postoperative ketoacidosis, frequently euglycemic, is relatively common after cardiac surgery and strongly associated with SGLT2 inhibitor therapy. Careful monitoring and tailored perioperative management should be considered for this high-risk group.</x:t>
  </x:si>
  <x:si>
    <x:t xml:space="preserve">Ginestal-Calvo J; Flordelís-Lasierra JL; Pérez-Vela JL; Campos-Bermejo L; Coso-Garrido C; Blanco-Carrasco L; Galiano-Carrilero C; Domínguez-Aguado H; Renes-Carreño E</x:t>
  </x:si>
  <x:si>
    <x:t xml:space="preserve">Journal of cardiothoracic and vascular anesthesia</x:t>
  </x:si>
  <x:si>
    <x:t xml:space="preserve">10.1053/j.jvca.2025.11.014</x:t>
  </x:si>
  <x:si>
    <x:t xml:space="preserve">41365754</x:t>
  </x:si>
  <x:si>
    <x:t xml:space="preserve">Journal Article; Observational Study; Research Support, Non-U.S. Gov't</x:t>
  </x:si>
  <x:si>
    <x:t xml:space="preserve">https://pubmed.ncbi.nlm.nih.gov/41365754/</x:t>
  </x:si>
  <x:si>
    <x:t xml:space="preserve">SCR_000101</x:t>
  </x:si>
  <x:si>
    <x:t xml:space="preserve">The sodium-glucose cotransporter-2 inhibitor canagliflozin alleviates endothelial dysfunction in a rat bypass model.</x:t>
  </x:si>
  <x:si>
    <x:t xml:space="preserve">Ischemia/reperfusion (IR) injury during coronary artery bypass grafting surgery has detrimental impacts on endothelial integrity and function. Studies have suggested that canagliflozin (CANA) mitigates the risk of cardiovascular events, independently of diabetes. We hypothesized that the supplementation and/or administration of CANA protects vascular grafts in a bypass model in non-diabetic Lewis rats. The aortic arches of control rats (n = 9) were harvested, aortic rings were prepared, then mounted in organ baths. In the IR and IR + CANAsuppl groups (n = 8/group), aortic arches were preserved in either saline or CANA-supplemented saline (5 µM) for 1 h at 4 °C before transplantation. In the IR + CANAinject and IR + CANAsuppl+inject groups (n = 9/group), aortic arches were preserved in cold saline or CANA for 1 h and recipients received CANA (10 µg/kg, intravenous) 5 min prior to reperfusion. After 1 h of in vivo blood reperfusion, ex vivo vascular function was assessed and immunohistochemistry was performed. The decreased maximum relaxation (Rmax) to acetylcholine in the IR group compared to controls (20 ± 3 % vs 83 ± 2 %, p &lt; 0.05) was improved in both the IR + CANAinject (36 ± 2 % vs. 20 ± 3 %, p &lt; 0.05) and IR + CANAsuppl+inject (45 ± 3 % vs. 20 ± 3 %, p &lt; 0.05) groups. Additionally, the IR + CANAsuppl+inject rings exhibited a further increased Rmax to acetylcholine compared to both the IR + CANAsuppl (45 ± 3 % vs. 31 ± 2 %, p &lt; 0.05) and IR + CANAinject (45 ± 3 % vs. 36 ± 2 %, p &lt; 0.05) groups. Increased DNA strand breaks in the IR group compared to controls were decreased in all CANA groups. The reduced immunoreactivity of CD-31 was ameliorated in the IR + CANAinject and IR + CANAsuppl+inject groups. CANA alleviates endothelial dysfunction induced by IR injury in a rodent model of revascularization.</x:t>
  </x:si>
  <x:si>
    <x:t xml:space="preserve">Ma M; Lian S; Kraft P; Mayer T; Sayour AA; Karck M; Szabó G; Korkmaz-Icöz S</x:t>
  </x:si>
  <x:si>
    <x:t xml:space="preserve">Biochemical pharmacology</x:t>
  </x:si>
  <x:si>
    <x:t xml:space="preserve">10.1016/j.bcp.2025.117601</x:t>
  </x:si>
  <x:si>
    <x:t xml:space="preserve">41349911</x:t>
  </x:si>
  <x:si>
    <x:t xml:space="preserve">https://pubmed.ncbi.nlm.nih.gov/41349911/</x:t>
  </x:si>
  <x:si>
    <x:t xml:space="preserve">SCR_000102</x:t>
  </x:si>
  <x:si>
    <x:t xml:space="preserve">Dapagliflozin enhances hemodynamic and metabolic recovery following cardioplegic arrest in the isolated working mouse heart.</x:t>
  </x:si>
  <x:si>
    <x:t xml:space="preserve">OBJECTIVE: This experimental study investigates the potential of sodium-glucose cotransporter 2 inhibitor (SGLT2i) dapagliflozin to enhance cardiac hemodynamic and metabolism function following ischemia/reperfusion (I/R) after cold cardioplegic arrest. METHODS: Hearts of adult male C57BL/6 J mice were excised and mounted on an isolated working heart system. Cold ischemia (100 min) was induced using St. Thomas' #2 cardioplegia, applied every 20 min, followed by 30 min of reperfusion. Continuous monitoring of cardiac parameters was performed. The experimental groups were the following (1) cold cardioplegic arrest as control (n = 12), (2) dapagliflozin applied to perfusion buffer 30 min prior to ischemia (n = 16), (3) arrested hearts receiving dapagliflozin as an adjunct to cardioplegia (n = 13), and (4) no-arrested, no-treated hearts (n = 6). Post-protocol, biopsies of hearts were frozen for subsequent metabolic and RT-qPCR analysis. Additionally, cell culture experiments on HUVECS and cardiac myoblasts were performed. RESULTS: Cold I/R markedly reduced systolic and diastolic function. Notably, dapagliflozin administered before ischemia significantly improved left ventricular recovery by enhancing contractility, aortic flow, and left ventricle diastolic function, whereas adding dapagliflozin only to the cardioplegic solution did not yield similar effects. High-energy phosphate (HEP) measurements revealed a statistically significant increase of myocardial energy charge in hearts treated with dapagliflozin via cardioplegia. These functional and metabolic findings were supported by improved cell viability and higher HEP content in HUVECS and cardiac myoblasts, when pre-treated with SGLT2i. DISCUSSION: Our findings underscore the potential of SGLT2i to improve hemodynamic recovery following cardioplegic arrest, supporting further exploration of dapagliflozin as novel myocardial protective regimen in cardiac surgery.</x:t>
  </x:si>
  <x:si>
    <x:t xml:space="preserve">Dostal C; Reiner J; Spona D; Wolner L; Pilz PM; Weber L; Yilmaz G; Stampfer A; Godel M; Guerra G; Ghigo A; Kapeller B; Riganti C; Isabel Antunes Goncalves A; Hallström S; Kiss A; Podesser BK</x:t>
  </x:si>
  <x:si>
    <x:t xml:space="preserve">10.1016/j.biopha.2025.118771</x:t>
  </x:si>
  <x:si>
    <x:t xml:space="preserve">41319519</x:t>
  </x:si>
  <x:si>
    <x:t xml:space="preserve">https://pubmed.ncbi.nlm.nih.gov/41319519/</x:t>
  </x:si>
  <x:si>
    <x:t xml:space="preserve">SCR_000103</x:t>
  </x:si>
  <x:si>
    <x:t xml:space="preserve">The anti-fibrotic effects of novel heart failure pharmacotherapies in advanced heart failure patients.</x:t>
  </x:si>
  <x:si>
    <x:t xml:space="preserve">BACKGROUND AND PURPOSE: Novel heart failure (HF) pharmacotherapies, including angiotensin receptor-neprilysin inhibitor (ARNI) and sodium-glucose cotransporter 2 inhibitors (SGLT2is), may confer cardiovascular benefits by attenuating myocardial fibrosis. However, direct evidence from human failing myocardial samples is limited. Thus, we assessed the associations of ARNI and SGLT2i therapies with fibrosis on myocardial samples from advanced HF patients undergoing heart transplantation (HTX). EXPERIMENTAL APPROACH: Ninety-three patients receiving stable combined HF pharmacotherapy (uninterrupted use of β-blockers, mineralocorticoid receptor antagonists, angiotensin-converting enzyme inhibitors or ARNI, and optionally SGLT2is) without the need for pharmacological or mechanical circulatory support for at least three months pre-HTX, were enrolled. Standardized regions of the left ventricular anterior wall from explanted hearts were analysed. The primary outcome was the percentage of interstitial myocardial fibrosis area measured via histology. The expression of pro-fibrotic and pathological remodelling markers was quantified with qRT-PCR. KEY RESULTS: Both ARNI and SGLT2i therapies were associated with reduced interstitial collagen accumulation in adjusted analyses. None of the tested clinical parameters (sex, age, serum creatinine, presence of hypertension or diabetes) interacted with the effects of ARNI or SGLT2i on fibrosis. Additionally, no interaction was observed between ARNI and SGLT2i use regarding collagen content. Among the examined genes, ARNI was linked to a decreased beta-to-alpha myosin heavy chain expression ratio, while in SGLT2i-treated patients, reduced mRNA levels of matrix metalloproteinase 9 (MMP9) and tissue inhibitor of metalloproteinases 2 (TIMP2) were observed in adjusted models. CONCLUSIONS AND IMPLICATIONS: ARNI and SGLT2i therapies might exert anti-fibrotic effects in advanced HF.</x:t>
  </x:si>
  <x:si>
    <x:t xml:space="preserve">Nagy D; Radovits T; Bálint T; Horváth Z; Kocsis-Balogh P; Tóth ÁG; Oláh A; Sayour AA; Barta BA; Merkely B; Ruppert M</x:t>
  </x:si>
  <x:si>
    <x:t xml:space="preserve">British journal of pharmacology</x:t>
  </x:si>
  <x:si>
    <x:t xml:space="preserve">10.1111/bph.70250</x:t>
  </x:si>
  <x:si>
    <x:t xml:space="preserve">41267438</x:t>
  </x:si>
  <x:si>
    <x:t xml:space="preserve">https://pubmed.ncbi.nlm.nih.gov/41267438/</x:t>
  </x:si>
  <x:si>
    <x:t xml:space="preserve">SCR_000104</x:t>
  </x:si>
  <x:si>
    <x:t xml:space="preserve">Impact of SGLT2 inhibitors on long-term outcomes in TAVI patients with heart failure: a propensity-matched analysis.</x:t>
  </x:si>
  <x:si>
    <x:t xml:space="preserve">INTRODUCTION AND OBJECTIVES: Sodium-glucose cotransporter-2 inhibitors (SGLT2i) improve outcomes in heart failure (HF), but their role in patients undergoing transcatheter aortic valve implantation (TAVI) remains unclear. A recent randomized trial (DapaTAVI) showed reduced HF hospitalizations with SGLT2i post-TAVI, but effects on mortality and broader outcomes are unknown. METHODS: Using the TriNetX Research Network, we conducted a multicenter retrospective cohort study of adults with HF who underwent TAVI between 2015 and 2025. Patients prescribed SGLT2i within 30 days of TAVI were 1:1 propensity score-matched to nonusers. The primary outcome was all-cause mortality; secondary outcomes included hospitalizations, myocardial infarction, stroke, arrhythmias, and renal events. RESULTS: Among 58 193 TAVI recipients, 3022 SGLT2i users were matched to 3022 nonusers. SGLT2i use was associated with significantly lower mortality at 3 months (3.5% vs 4.9%; HR, 0.71), 6 months (5.0% vs 8.1%; HR, 0.61), 12 months (7.3% vs 10.5%; HR, 0.71), and 5 years (10.7% vs 20.6%; HR, 0.59; all P &lt;.01). SGLT2i users also had fewer hospital or emergency room visits and a lower 5-year incidence of myocardial infarction (12.0% vs 14.4%; OR, 0.81, P=.007). Stroke incidence was lower at 6 months (4.8% vs 6.1%; P=.041) but was not sustained long term. Renal and arrhythmic outcomes were similar between groups. CONCLUSIONS: SGLT2i use in patients with HF undergoing TAVI was associated with reduced mortality and fewer adverse cardiovascular events. These findings support the integration of SGLT2i into post-TAVI management strategies.</x:t>
  </x:si>
  <x:si>
    <x:t xml:space="preserve">Obeidat O; Alayyat A; Naser A; Ghanem F; Jabri A; Brankovic M; Jiao T; Ruzieh M; Haddad A; Alexy T; Villablanca P; Alhuneafat L</x:t>
  </x:si>
  <x:si>
    <x:t xml:space="preserve">Revista espanola de cardiologia (English ed.)</x:t>
  </x:si>
  <x:si>
    <x:t xml:space="preserve">10.1016/j.rec.2025.10.016</x:t>
  </x:si>
  <x:si>
    <x:t xml:space="preserve">41232829</x:t>
  </x:si>
  <x:si>
    <x:t xml:space="preserve">eng; spa</x:t>
  </x:si>
  <x:si>
    <x:t xml:space="preserve">https://pubmed.ncbi.nlm.nih.gov/41232829/</x:t>
  </x:si>
  <x:si>
    <x:t xml:space="preserve">SCR_000105</x:t>
  </x:si>
  <x:si>
    <x:t xml:space="preserve">Risk of Euglycemic Diabetic Ketoacidosis Can Persist After Discontinuation of Sodium-glucose Cotransporter-2 Inhibitors.</x:t>
  </x:si>
  <x:si>
    <x:t xml:space="preserve">Euglycemic diabetic ketoacidosis (EDKA) is a complication of diabetes often associated with prolonged fasting, pregnancy, and, more recently, the use of sodium-glucose cotransporter 2 (SGLT2) inhibitors. We present a 69-year-old woman with EDKA in the setting of cardiac surgery for multivessel coronary artery disease even after the SGLT-2 inhibitor was discontinued 5 days prior to the surgery. Postoperative lab values revealed concern for EDKA due to low bicarbonate, elevated anion gap, elevated β-hydroxybutyrate, and normal blood glucose levels. IV insulin and dextrose were administered to resolve the acidosis, but the anion gap again became elevated once the insulin infusion was stopped. We observed persistence of ketonemia and urinary glucose excretion postoperatively. This case implies that patients on SGLT2 inhibitors may be at risk for EDKA for a prolonged period even after discontinuing the medication for the recommended time before a major surgery.</x:t>
  </x:si>
  <x:si>
    <x:t xml:space="preserve">Bobba SS; Campbell E; Bril F</x:t>
  </x:si>
  <x:si>
    <x:t xml:space="preserve">JCEM case reports</x:t>
  </x:si>
  <x:si>
    <x:t xml:space="preserve">10.1210/jcemcr/luaf268</x:t>
  </x:si>
  <x:si>
    <x:t xml:space="preserve">41221013</x:t>
  </x:si>
  <x:si>
    <x:t xml:space="preserve">Case Reports; Journal Article</x:t>
  </x:si>
  <x:si>
    <x:t xml:space="preserve">https://pubmed.ncbi.nlm.nih.gov/41221013/</x:t>
  </x:si>
  <x:si>
    <x:t xml:space="preserve">SCR_000106</x:t>
  </x:si>
  <x:si>
    <x:t xml:space="preserve">GLP-1 receptor agonists and clinical outcomes in patients with type 2 diabetes undergoing transcatheter aortic valve implantation.</x:t>
  </x:si>
  <x:si>
    <x:t xml:space="preserve">AIMS: We evaluated clinical outcomes with GLP-1 RA use post-TAVI in patients with T2D. GLP-1 receptor agonists (GLP1-RAs) lower cardiovascular risk in type 2 diabetes (T2D), but their impact in patients with valvular heart disease, including those undergoing transcatheter aortic-valve implantation (TAVI), remained unexplored. METHODS AND RESULTS: We conducted a retrospective cohort study using the TriNetX network, including 25 184 adults (≥18 years) with T2D who underwent TAVI (2015-2023). Patients were stratified based on GLP1-RA initiation within 14 days post-TAVI. Baseline characteristics, comorbidities, medications, and laboratory data were balanced using 1:1 propensity score matching (PSM). Cox models estimated hazard ratios (HRs) and 95% confidence intervals (CIs) for events from one-month post-TAVI until the most recent follow-up. PSM yielded 1101 patients per group, with a mean age of 73 years and 39% female. Mean follow-up duration was 2.2 ± 1.1 and 2.6 ± 1.8 years for GLP1-RA users and non-users, respectively. GLP1-RA use was also associated higher survival probability (HR: 0.708 [95% CI: 0.583-0.859]), and lower rates of all-cause hospitalization (HR: 0.790 [95% CI, 0.706-0.885]), major cardiovascular events (HR: 0.849 [95% CI: 0.749-0.963]), and acute heart failure exacerbation (HR: 0.785 [95% CI: 0.677-0.909]), acute kidney injury (HR: 0.843 [95% CI: 0.719-0.988]), and major kidney events (HR: 0.665 [95% CI: 0.510-0.866]). No differences were observed in acute myocardial infarction, cerebral infarction, or cardiac arrest. CONCLUSION: In patients with T2D undergoing TAVI, GLP1-RA use is associated with significant survival benefits and improved cardiorenal outcomes. However, these findings are limited by the observational design, high comorbidity burden, lack of data on medication compliance, and specific cause of death. Prospective trials are warranted to confirm these benefits.</x:t>
  </x:si>
  <x:si>
    <x:t xml:space="preserve">Pham HN; Ibrahim R; Abdelnabi M; Bcharah G; Mahmoud AK; Allam M; Farina J; Lee JZ; Singh A; Ayoub C; Alsidawi S; Sell-Dottin KA; Chahal A; Sorajja D; Lee K; Alkhouli M; Arsanjani R</x:t>
  </x:si>
  <x:si>
    <x:t xml:space="preserve">European heart journal. Quality of care &amp; clinical outcomes</x:t>
  </x:si>
  <x:si>
    <x:t xml:space="preserve">10.1093/ehjqcco/qcaf135</x:t>
  </x:si>
  <x:si>
    <x:t xml:space="preserve">41206745</x:t>
  </x:si>
  <x:si>
    <x:t xml:space="preserve">https://pubmed.ncbi.nlm.nih.gov/41206745/</x:t>
  </x:si>
  <x:si>
    <x:t xml:space="preserve">SCR_000107</x:t>
  </x:si>
  <x:si>
    <x:t xml:space="preserve">Effects of Empagliflozin and Dapagliflozin on Lipid Profiles and Atherogenic Risk Indices in Patients with Heart Failure and a History of CABG: First Evidence in the Literature.</x:t>
  </x:si>
  <x:si>
    <x:t xml:space="preserve">Objective: This study aimed to compare the effects of empagliflozin and dapagliflozin on classical lipid parameters-including total cholesterol (TC), low-density lipoprotein cholesterol (LDL-C), high-density lipoprotein cholesterol (HDL-C), and triglycerides (TG)-as well as on atherogenic risk indices, including the atherogenic index of plasma (AIP), Castelli Risk Index I (CRI-I), Castelli Risk Index II (CRI-II), atherogenic coefficient (AC), and triglyceride-glucose index (TyG), in patients with heart failure and a history of coronary artery bypass grafting (CABG). To our knowledge, this is the first study to comprehensively evaluate these parameters in this high-risk population. Methods: This single-center, retrospective study included 484 patients with preserved ejection fraction heart failure and prior CABG who were treated with sodium-glucose cotransporter-2 (SGLT2) inhibitors. Patients were allocated to empagliflozin (n = 201) or dapagliflozin (n = 283) groups. All patients were receiving statin therapy. Lipid parameters and atherogenic indices were evaluated at baseline and after 12 weeks of treatment. Results: Both empagliflozin and dapagliflozin significantly reduced TC and LDL-C at 12 weeks (p &lt; 0.001). No significant changes were observed in HDL-C or TG. Both agents produced significant improvements in CRI-I, CRI-II, AC, and TyG index (all p &lt; 0.001), while AIP remained unchanged. Dapagliflozin achieved a greater reduction in TC (p = 0.044). Conclusions: This study represents the first direct comparison of empagliflozin and dapagliflozin on lipid profiles and atherogenic indices in patients with heart failure and prior CABG. Both agents significantly improved TC, LDL-C, and atherogenic indices. Dapagliflozin achieved a greater reduction in TC compared with empagliflozin, but overall both drugs demonstrated favorable and largely comparable effects. Beyond improvements in absolute values, both agents also contributed to favorable shifts in risk categories of lipid-derived indices. These findings suggest that clinical decision-making between empagliflozin and dapagliflozin may rely on factors other than lipid modulation. Larger multicenter prospective trials are warranted to confirm these results and clarify their long-term cardiovascular implications.</x:t>
  </x:si>
  <x:si>
    <x:t xml:space="preserve">Ozgol I; Yigit Gencer E; Yildiz C; Karabulut D; Turhan Çaglar FN; Bicakhan B; Yucel C; Ketenciler S; Ay A; Yigit Z</x:t>
  </x:si>
  <x:si>
    <x:t xml:space="preserve">10.3390/jcm14207395</x:t>
  </x:si>
  <x:si>
    <x:t xml:space="preserve">41156265</x:t>
  </x:si>
  <x:si>
    <x:t xml:space="preserve">https://pubmed.ncbi.nlm.nih.gov/41156265/</x:t>
  </x:si>
  <x:si>
    <x:t xml:space="preserve">SCR_000108</x:t>
  </x:si>
  <x:si>
    <x:t xml:space="preserve">Cardiovascular-Kidney-Metabolic Disease Burden in Children and Adults Following Heart Transplantation.</x:t>
  </x:si>
  <x:si>
    <x:t xml:space="preserve">BACKGROUND: Heart transplantation (HT) is the definitive therapy for end-stage heart failure. However, with improving post-HT survival in the modern era, recipients are increasingly cumulatively exposed to unique risk factors for cardiovascular-kidney-metabolic (CKM) dysfunction. An expanded understanding of the incidence and prevalence of CKM dysfunction post-HT may inform screening and therapeutic strategies to mitigate adverse events. OBJECTIVES: The aim of this study was to characterize the incidence and prevalence of CKM risk factors in adult and pediatric HT recipients and to define their association with cardiac allograft vasculopathy (CAV) and mortality. METHODS: A single-center retrospective observational study was conducted in adults and children who underwent HT between January 1, 2015, and June 30, 2024. Longitudinal clinical and laboratory data were extracted from the electronic health record. Incidence rates (IRs) of type 2 diabetes mellitus (DM2), overweight or obesity, hypertension, chronic kidney disease (CKD), and dyslipidemia were calculated. longitudinal trajectories of CKM dysfunction were constructed, and the impact of sodium-glucose cotransporter 2 (SGLT2) inhibitors and glucagon-like peptide-1 receptor agonists (GLP1RAs) on CKD and body mass index, respectively, was evaluated. Finally, immunologic and CKM comorbidities were linked with clinical outcomes by using time-varying Cox regression models. RESULTS: During the study period, 860 adults and 84 children underwent HT. Among adults, the IRs (reported as cases per 100 person-years) of DM2, overweight or obesity, dyslipidemia, and CKD were 28.6, 77.3, 139.1, and 69.7, respectively. Among children, the IRs of DM2, overweight or obesity, dyslipidemia, and CKD were 2.8, 26.9, 5.5, and 3.6. Within 12 months post-HT, 99% of adults developed stage 1 or 2 hypertension, and 22.1% of all adults developed hemoglobin A1c levels ≥6.5%, regardless of a preexisting diagnosis of DM2. Similarly, 37.5% of adults developed moderate to severe hypertriglyceridemia and 31.1% manifested worsened low-density lipoprotein cholesterol control. Among adults with an estimated glomerular filtration rate (eGFR) ≥45 mL/min/1.73 m2 pre-HT, 86.2% displayed worsening renal function (eGFR &lt;45 mL/min/1.73 m2) within 12 months post-HT. In adults initiated on SGLT2 inhibitor post-HT (n = 242), there was a nonlinear improvement in eGFR during the ensuing 12 months; for individuals initiated on GLP1RAs (n = 168), there was a predominantly linear reduction in body mass index. Among CKM comorbidities, none was significantly associated with CAV, whereas DM2 was associated with increased post-HT mortality (HR: 1.84; 95% CI: 1.04-3.25). CONCLUSIONS: A significant proportion of HT recipients experience new-onset or worsening CKM dysfunction after HT. Furthermore, CKM comorbidities are associated with post-HT mortality. These results indicate that SGLT2 inhibitors and GLP1RAs may mitigate the burden of CKM disease.</x:t>
  </x:si>
  <x:si>
    <x:t xml:space="preserve">Huang S; Tamaroff J; Farber-Eger E; Chow N; Siddiqi HK; Brinkley DM; Menachem JN; Rali AS; Lindenfeld J; Ooi H; Punnoose L; Tsai S; Pedrotty D; Zalawadiya S; Sacks S; Wigger M; Prokupets R; Williams AM; Bommareddi S; Lima B; Nguyen D; Shah AS; Trahanas JM; Bearl DW; Wells QS; Schlendorf KH; Amancherla K</x:t>
  </x:si>
  <x:si>
    <x:t xml:space="preserve">10.1016/j.jchf.2025.102710</x:t>
  </x:si>
  <x:si>
    <x:t xml:space="preserve">41117724</x:t>
  </x:si>
  <x:si>
    <x:t xml:space="preserve">Journal Article; Observational Study</x:t>
  </x:si>
  <x:si>
    <x:t xml:space="preserve">https://pubmed.ncbi.nlm.nih.gov/41117724/</x:t>
  </x:si>
  <x:si>
    <x:t xml:space="preserve">SCR_000109</x:t>
  </x:si>
  <x:si>
    <x:t xml:space="preserve">Association between pre-operative sodium-glucose cotransporter-2 inhibitor use and postoperative outcomes: a propensity score-matched analysis of the TriNetX database.</x:t>
  </x:si>
  <x:si>
    <x:t xml:space="preserve">INTRODUCTION: While sodium-glucose cotransporter-2 inhibitors offer cardiovascular and renal benefits, their peri-operative safety and effect profile remain unclear. This study aimed to evaluate the association between pre-operative sodium-glucose cotransporter-2 inhibitor use and postoperative adverse events in patients with type 2 diabetes mellitus. METHODS: This nationwide propensity-score matched cohort study utilised the TriNetX database to analyse data from patients with type 2 diabetes mellitus who underwent surgery in the USA. Patients were categorised based on whether they had received a prescription for sodium-glucose cotransporter-2 inhibitors 90 days before surgery. The primary outcome was 30-day all-cause mortality. Secondary outcomes included the incidence of major adverse cardiovascular events; acute kidney injury; and diabetic ketoacidosis. RESULTS: In 98,118 matched pairs, 30-day all-cause mortality was significantly lower in patients in the sodium-glucose cotransporter-2 inhibitor group compared with those in the control group (RR 0.61, 95%CI 0.55-0.67, p &lt; 0.001). Patients receiving sodium-glucose cotransporter-2 inhibitor treatment also showed lower risks of major adverse cardiovascular events (RR 0.89, 95%CI 0.86-0.91); acute kidney injury (RR 0.71, 95%CI 0.69-0.74); and diabetic ketoacidosis (RR 0.31, 95%CI 0.18-0.540) (p &lt; 0.001 for all comparisons). Subgroup analyses revealed a more pronounced reduction in mortality among females, patients living with obesity or proteinuria, and those undergoing cardiovascular surgery. DISCUSSION: Our study showed a significantly reduced risk of postoperative mortality and morbidity associated with pre-operative sodium-glucose cotransporter-2 inhibitor use in patients with type 2 diabetes mellitus, including a notably lower rate of diabetic ketoacidosis, contrary to previous concerns. Randomised controlled trials are warranted to validate these findings.</x:t>
  </x:si>
  <x:si>
    <x:t xml:space="preserve">Wu HL; Chen JT; Cata JP; Hsieh CH; Cherng YG; Tai YH</x:t>
  </x:si>
  <x:si>
    <x:t xml:space="preserve">Anaesthesia</x:t>
  </x:si>
  <x:si>
    <x:t xml:space="preserve">10.1111/anae.70024</x:t>
  </x:si>
  <x:si>
    <x:t xml:space="preserve">41084418</x:t>
  </x:si>
  <x:si>
    <x:t xml:space="preserve">https://pubmed.ncbi.nlm.nih.gov/41084418/</x:t>
  </x:si>
  <x:si>
    <x:t xml:space="preserve">SCR_000110</x:t>
  </x:si>
  <x:si>
    <x:t xml:space="preserve">Prevention of postoperative acute kidney injury: insights from recent clinical trials.</x:t>
  </x:si>
  <x:si>
    <x:t xml:space="preserve">PURPOSE OF REVIEW: Postoperative acute kidney injury (PO-AKI) is a common complication associated with increased morbidity and mortality. Despite its frequency, guidelines for the prevention of PO-AKI are relatively recent and still based on weak or contradictory evidence. This review aims to summarize large recent studies published in the past 2 years that have attempted to address these gaps. RECENT FINDINGS: While the POST-CABGDM and Stop-or-Not trials have provided additional evidence on the preoperative prescription of RAAS and SGLT2 inhibitors in selected surgical settings, future research must integrate preoperative risk profiling to personalize therapy. Likewise, although the POISE-3 trial seems to suggest that maintaining a mean arterial pressure of at least 60 mmHg is crucial in noncardiac surgery, it does not explore how targets might be personalized. In cardiac surgery, both the SIRAKI02 trial (i.e., extracorporeal blood purification membrane connected to the cardiopulmonary bypass) and the PROTECTION trial (i.e., intraoperative amino-acid infusion) demonstrated benefit only for mild AKI, raising questions about their mechanistic basis and clinical significance. SUMMARY: "Prevention is better than cure," a principle that holds particularly true for PO-AKI, a common complication that still lacks effective curative treatments. Although the recent abovementioned trials have yielded important findings, they concurrently underscore the significant obstacles in conducting clinical trials on PO-AKI and in formulating robust recommendations based on their outcomes.</x:t>
  </x:si>
  <x:si>
    <x:t xml:space="preserve">Benyahia R; Klein J; Faguer S</x:t>
  </x:si>
  <x:si>
    <x:t xml:space="preserve">Current opinion in nephrology and hypertension</x:t>
  </x:si>
  <x:si>
    <x:t xml:space="preserve">10.1097/mnh.0000000000001114</x:t>
  </x:si>
  <x:si>
    <x:t xml:space="preserve">40990657</x:t>
  </x:si>
  <x:si>
    <x:t xml:space="preserve">https://pubmed.ncbi.nlm.nih.gov/40990657/</x:t>
  </x:si>
  <x:si>
    <x:t xml:space="preserve">SCR_000111</x:t>
  </x:si>
  <x:si>
    <x:t xml:space="preserve">A Case of Euglycemic Diabetic Ketoacidosis: SGLT2 Inhibitor Complication Triggering Acute Coronary Syndrome and Cardiac Arrest Post Coronary Artery Bypass Grafting (CABG).</x:t>
  </x:si>
  <x:si>
    <x:t xml:space="preserve">Sodium-glucose cotransporter-2 inhibitors (SGLT2i) are widely used in diabetes mellitus (DM) and cardiovascular disease for their glycemic and cardioprotective benefits. However, they carry an uncommon risk of euglycemic diabetic ketoacidosis (EDKA), a form of DKA with near-normal blood glucose. This complication is especially perilous in perioperative settings, and the incidence and outcomes of EDKA in cardiovascular patients have not been robustly quantified. Hence, we present a case of an elderly diabetic patient who developed EDKA on postoperative day (POD) 5 after elective coronary artery bypass grafting (CABG), which precipitated an acute coronary syndrome (ACS) and cardiac arrest. A 79-year-old male with insulin-dependent type 2 DM (on SGLT2i therapy, empagliflozin 10 mg daily) underwent uncomplicated CABG for multi-vessel coronary disease. His SGLT2i therapy was continued until the day of surgery (no preoperative washout). On POD 5, he developed high anion gap metabolic acidosis with normal glycemia (pH=7.1, pCO₂=19 mmHg, bicarbonate (HCO₃⁻)=9 mEq/L, anion gap 26.4 mEq/L). Other causes of high-anion-gap metabolic acidosis were excluded (serum lactate 1.8 mmol/L, afebrile with normal WBC, stable renal and liver function). These findings confirmed EDKA. Despite prompt insulin and fluid therapy, the patient acutely developed chest pain and hemodynamic collapse. Emergent angiography revealed a critical stenosis of the left internal mammary artery (LIMA)-to-left anterior descending (LAD) bypass graft, confirming an ACS due to metabolic stress from EDKA rather than surgical technical failure or perioperative graft occlusion. Restoration of blood flow through the LIMA-LAD graft was achieved after deploying a coronary stent across the stenosis. The patient stabilized and made a gradual recovery. This case illustrates that EDKA can impose severe metabolic stress on the heart, effectively acting as a "cardiac stress test" that triggers myocardial ischemia and arrhythmias. Current guidelines recommend discontinuing SGLT2i at least three days before major surgery to mitigate this risk. Clinicians must maintain a high index of suspicion for EDKA in postoperative patients on SGLT2i therapy after CABG surgery, as early recognition and treatment are critical to preventing catastrophic outcomes. Furthermore, the case highlights the importance of multidisciplinary management in cardiovascular patients perioperatively to mitigate the risk of EDKA and its life-threatening cardiac sequelae.</x:t>
  </x:si>
  <x:si>
    <x:t xml:space="preserve">Nteka F; Alexiou P; Ballas C</x:t>
  </x:si>
  <x:si>
    <x:t xml:space="preserve">Cureus</x:t>
  </x:si>
  <x:si>
    <x:t xml:space="preserve">10.7759/cureus.90044</x:t>
  </x:si>
  <x:si>
    <x:t xml:space="preserve">40951032</x:t>
  </x:si>
  <x:si>
    <x:t xml:space="preserve">https://pubmed.ncbi.nlm.nih.gov/40951032/</x:t>
  </x:si>
  <x:si>
    <x:t xml:space="preserve">SCR_000112</x:t>
  </x:si>
  <x:si>
    <x:t xml:space="preserve">Sodium glucose cotransporter 2 inhibitor use after heart transplant: Current knowledge and potential applications.</x:t>
  </x:si>
  <x:si>
    <x:t xml:space="preserve">Heart transplant (HTx) markedly improves survival and quality of life in patients with stage D heart failure. However, long-term survival post-HTx is limited by increased risk and progression of cardiovascular disease, chronic kidney disease, and metabolic disease. There is a lack of proven mitigating treatments for these morbidities, and transplant recipients are frequently excluded from clinical trials of novel agents, which could be of benefit in this population. Sodium glucose cotransporter 2 inhibitors (SGLT2i), initially a treatment for type 2 diabetes, are now established treatments for heart failure or chronic kidney disease, with or without type 2 diabetes. There are strong mechanistic reasons that suggest HTx recipients should derive specific benefits from SGLT2i. However, prospective data to confirm these hypotheses in transplant recipient populations are limited. In this review, we present mechanisms through which SGLT2i may benefit HTx recipients, including renoprotective, glycemic, vascular, anti-inflammatory, and erythropoietic effects. We present a summary of experimental studies of SGLT2i in reversal of calcineurin inhibitor-associated kidney and pancreatic injury, and retrospective studies of SGLT2i in HTx recipients demonstrating improvement in glycaemia, weight, and renal function. Prospective trials of SGLT2i in HTx recipients are required, and the currently registered trials are highlighted.</x:t>
  </x:si>
  <x:si>
    <x:t xml:space="preserve">Raven LM; Brinker L; Sideris K; Muir CA; Carter S; Beddhu S; Macdonald PS; Stehlik J</x:t>
  </x:si>
  <x:si>
    <x:t xml:space="preserve">American journal of transplantation : official journal of the American Society of Transplantation and the American Society of Transplant Surgeons</x:t>
  </x:si>
  <x:si>
    <x:t xml:space="preserve">10.1016/j.ajt.2025.08.013</x:t>
  </x:si>
  <x:si>
    <x:t xml:space="preserve">40835110</x:t>
  </x:si>
  <x:si>
    <x:t xml:space="preserve">https://pubmed.ncbi.nlm.nih.gov/40835110/</x:t>
  </x:si>
  <x:si>
    <x:t xml:space="preserve">SCR_000113</x:t>
  </x:si>
  <x:si>
    <x:t xml:space="preserve">Euglycaemic diabetic ketoacidosis and its risk factors in patients undergoing coronary artery bypass grafting surgery: a single-centre nested case-control study in China.</x:t>
  </x:si>
  <x:si>
    <x:t xml:space="preserve">OBJECTIVES: This study examines the incidence and risk factors of euglycaemic diabetic ketoacidosis (euDKA) in patients undergoing coronary artery bypass grafting (CABG) and evaluates their postoperative outcomes over a 6-month follow-up period. DESIGN: This study is a single-centre, nested case-control study, conducted in Tianjin, China. SETTING: An international cardiovascular hospital. PARTICIPANTS: A total of 1524 patients, with a mean age of 64 (9) years, who underwent isolated elective CABG surgery were reviewed. PRIMARY AND SECONDARY OUTCOME MEASURES: Data were extracted from electronic medical records. EuDKA cases were identified by reviewing laboratory examination results until discharge, including arterial blood gas analysis and urine samples. Logistic regression analysis was used in a case-control design to identify potential risk factors of sodium-glucose cotransporter 2 inhibitor (SGLT2i)-associated euDKA. Post-discharge follow-up was conducted through regular outpatient visits. RESULTS: 15 patients with euDKA, all with type 2 diabetes, were identified post-surgery, 13 of whom were SGLT2i users. The cumulative incidence of euDKA within 7 days after surgery was 1% in the cohort, increasing to 7.6% among those who discontinued SGLT2i 1-6 days (n=171) before surgery. A case-control study added seven additional confirmed euDKA patients to the case group, resulting in 20 cases and 95 controls. Univariate regression analysis revealed that the risk of euDKA was 7.304 times higher (95% CI 2.517 to 21.197; p&lt;0.001) for patients who took their last dose within 3 days prior to surgery compared with patients who discontinued SGLT2i 3-6 days before surgery. During the intraoperative period, pH &lt;7.35 (OR: 7.017, 95% CI 1.849 to 26.638; p=0.004) and blood glucose &lt;10 mmol L-1 (OR: 6.882, 95% CI 1.822 to 25.997; p=0.004) were associated with a higher risk of euDKA. Compared with controls, euDKA patients experienced a higher rate of type 5 myocardial infarction (6/20 (30%) vs 9/95 (9.5%); p=0.035) and recurrent ketosis post-discharge (3/19 (15.8%) vs 0/87 (0%); p=0.005). CONCLUSIONS: This cohort study highlights a notable incidence of euDKA following CABG, particularly among patients using SGLT2i. Close monitoring in the ICU is recommended for patients with intraoperative abnormal blood glucose and pH levels to prevent euDKA.</x:t>
  </x:si>
  <x:si>
    <x:t xml:space="preserve">Hu R; Lu C; Liu Y; Yang M; Xing H; Dai K; Li J; Zheng H; Chen X; Tang NJ</x:t>
  </x:si>
  <x:si>
    <x:t xml:space="preserve">10.1136/bmjopen-2025-098758</x:t>
  </x:si>
  <x:si>
    <x:t xml:space="preserve">40803742</x:t>
  </x:si>
  <x:si>
    <x:t xml:space="preserve">https://pubmed.ncbi.nlm.nih.gov/40803742/</x:t>
  </x:si>
  <x:si>
    <x:t xml:space="preserve">SCR_000114</x:t>
  </x:si>
  <x:si>
    <x:t xml:space="preserve">Association of Endocrinologists on Clinical Care Team With Sodium-Glucose Cotransporter 2 Inhibitor Prescription for People With Type 2 Diabetes After Coronary Artery Bypass Grafting: A Two-Center Study.</x:t>
  </x:si>
  <x:si>
    <x:t xml:space="preserve">Sodium-glucose cotransporter 2 (SGLT2) inhibitors are underutilized in people with type 2 diabetes after coronary artery bypass grafting (CABG). This study investigated the association of the presence of an endocrinologist on treatment teams with SGLT2 inhibitor prescription in patients with type 2 diabetes after CABG. The presence of an endocrinologist was associated with a more than twofold increase in the odds of obtaining an SGLT2 inhibitor prescription. This finding suggests that involving endocrinologists in these patients' postoperative care may improve prescription and use of SGLT2 inhibitors after CABG.</x:t>
  </x:si>
  <x:si>
    <x:t xml:space="preserve">Yi Y; Kumar N; Smith MR; Mueller A; Houle T; Jassar A; Cornella LJ; Schonberger RB; Bardia A</x:t>
  </x:si>
  <x:si>
    <x:t xml:space="preserve">Clinical diabetes : a publication of the American Diabetes Association</x:t>
  </x:si>
  <x:si>
    <x:t xml:space="preserve">10.2337/cd24-0107</x:t>
  </x:si>
  <x:si>
    <x:t xml:space="preserve">40741469</x:t>
  </x:si>
  <x:si>
    <x:t xml:space="preserve">https://pubmed.ncbi.nlm.nih.gov/40741469/</x:t>
  </x:si>
  <x:si>
    <x:t xml:space="preserve">SCR_000115</x:t>
  </x:si>
  <x:si>
    <x:t xml:space="preserve">Role of Sodium-Glucose Transport Protein 2 (SGLT2) Inhibitors in Preventing Cardiac Surgery-Associated Acute Kidney Injury: A Scoping Review.</x:t>
  </x:si>
  <x:si>
    <x:t xml:space="preserve">Cardiac surgery-associated acute kidney injury (CSA-AKI) is a frequent and serious complication associated with increased morbidity, mortality, and healthcare costs. Sodium-glucose co-transporter 2 inhibitors (SGLT2i), including dapagliflozin and empagliflozin, have shown renoprotective benefits in chronic settings, but their perioperative role in CSA-AKI prevention is not well defined. This study was to map the current literature on the use of SGLT2 inhibitors such as empagliflozin and dapagliflozin for the prevention of CSA-AKI, identify evidence gaps, and inform future research directions. A scoping review was conducted using PubMed, Ovid (MEDLINE/Embase), Cochrane Library, and trial registries from January 2010 to May 2025. Eligible studies included adult cardiac surgery patients receiving SGLT2i therapy in the perioperative period. Data were extracted on study design, SGLT2i agent, timing, AKI definitions, outcomes, and safety reporting. Seven studies met the inclusion criteria, and one early-terminated trial met the inclusion criteria. The terminated study halted recruitment after achieving its predefined outcome and transitioned into a larger multicentre trial. Empagliflozin was the most frequently studied agent, with dapagliflozin included in a smaller subset. Findings suggest a lower incidence of CSA-AKI in patients receiving SGLT2i compared to controls; however, heterogeneity in study design, small sample sizes, and inconsistent safety reporting limit the strength of conclusions. Three ongoing randomized controlled trials were also identified, reflecting growing interest in this therapeutic strategy. Early data suggest that SGLT2 inhibitors may offer renoprotective effects in the cardiac surgical population. Evidence specific to dapagliflozin remains limited. Larger, high-quality RCTs are needed to determine efficacy, safety, and the optimal timing and perioperative use of SGLT2i to prevent CSA-AKI.</x:t>
  </x:si>
  <x:si>
    <x:t xml:space="preserve">Al Chalabi H; Omar AS; Gordon A; Rai B</x:t>
  </x:si>
  <x:si>
    <x:t xml:space="preserve">10.7759/cureus.86630</x:t>
  </x:si>
  <x:si>
    <x:t xml:space="preserve">40709152</x:t>
  </x:si>
  <x:si>
    <x:t xml:space="preserve">https://pubmed.ncbi.nlm.nih.gov/40709152/</x:t>
  </x:si>
  <x:si>
    <x:t xml:space="preserve">SCR_000116</x:t>
  </x:si>
  <x:si>
    <x:t xml:space="preserve">Empagliflozin Use in Cardiac Transplant Patients: Real-world experience from Saudi Arabia.</x:t>
  </x:si>
  <x:si>
    <x:t xml:space="preserve">OBJECTIVES: Sodium-glucose transport protein 2 (SGLT2) inhibitors are used in the treatment of patients with type 2 diabetes. Besides their beneficial metabolic effects, such as lowering glycated haemoglobin, body weight and blood pressure, these agents have shown favourable and protective effects on both the heart and kidneys. Notably, these cardio-renal benefits are even seen in individuals without diabetes. However, there is limited evidence regarding the safety and efficacy of SGLT2 inhibitors in cardiac transplant recipients. This study aimed to assess the safety and efficacy of empagliflozin in cardiac transplant recipients with diabetes. METHODS: This retrospective study was conducted at the King Faisal Specialist Hospital &amp; Research Centre in Riyadh, Saudi Arabia, from June 2003 to May 2024. Patients from the cardiac transplant recipient register who were taking empagliflozin or a combination of empagliflozin and metformin were included. Consequently, their safety and efficacy parameters were examined. RESULTS: A total of 20 patients were included in this study. There was an improvement in haemoglobin A1C (HbA1C) levels, body weight and stability in serum creatinine. Additionally, there was no increased risk of genitourinary infections, hypoglycaemia or diabetic ketoacidosis. CONCLUSIONS: Although larger studies are needed to examine the use of empagliflozin in cardiac transplant patients, this small study provides assurance that empagliflozin is safe for use in cardiac transplant recipients.</x:t>
  </x:si>
  <x:si>
    <x:t xml:space="preserve">Butt MI; Albalwi RMH; Alnassar N; Alghamdi R</x:t>
  </x:si>
  <x:si>
    <x:t xml:space="preserve">Sultan Qaboos University medical journal</x:t>
  </x:si>
  <x:si>
    <x:t xml:space="preserve">10.18295/squmj.10.2024.057</x:t>
  </x:si>
  <x:si>
    <x:t xml:space="preserve">40657462</x:t>
  </x:si>
  <x:si>
    <x:t xml:space="preserve">https://pubmed.ncbi.nlm.nih.gov/40657462/</x:t>
  </x:si>
  <x:si>
    <x:t xml:space="preserve">SCR_000117</x:t>
  </x:si>
  <x:si>
    <x:t xml:space="preserve">Long-term effectiveness of SGLT2 inhibitors in type 2 diabetes patients with myocardial injury: A population-based study.</x:t>
  </x:si>
  <x:si>
    <x:t xml:space="preserve">BACKGROUND: Sodium-glucose cotransporter 2 (SGLT2) inhibitors have demonstrated cardiovascular benefits in randomized trials. However, real-world evidence on their cardioprotective effect in high-risk populations with documented myocardial injury-such as heart failure (HF), acute coronary syndrome (ACS), myocardial revascularization, or cardiac surgery-is still limited. OBJECTIVE: To evaluate the impact of SGLT2 inhibitor adherence on cardiovascular outcomes in patients with type 2 diabetes mellitus (T2DM) and a history of myocardial injury, in a real-world setting. METHODS: We retrospectively reviewed the healthcare utilization databases of the Lombardy region (Italy) to identify all patients with T2DM who were dispensed SGLT2 inhibitors between 2014-2020, and had one hospitalization for HF, myocardial revascularization, ACS or cardiac surgery in the previous 10 years. Adherence was calculated as the proportion of days covered by therapy during follow-up. Cox regression analysis was performed to estimate the hazard ratios (HR) for cardiovascular hospitalizations and death. RESULTS: Among 1789 HF, 5759 revascularization, 3986 ACS, and 4580 cardiac surgery patients, higher adherence to SGLT2i therapy was consistently associated with a lower risk of CV events or death. Adjusted HRs for high vs. very low adherence were: HF, 0.65 (95 %CI:0.52-0.82); revascularization, 0.70 (95 %CI:0.59-0.84); ACS, 0.76 (95 %CI:0.62-0.93); and cardiac surgery, 0.69 (95 %CI:0.57-0.84). A dose-response trend was observed across adherence levels. CONCLUSION: High adherence to SGLT2 inhibitors therapy can significantly decrease the risk of cardiovascular-related hospitalization and death in patients with T2DM and several forms of myocardial injury, such as HF, ACS, myocardial revascularization, and cardiac surgery.</x:t>
  </x:si>
  <x:si>
    <x:t xml:space="preserve">Ponzoni M; Rea F; Corrao G; Barron DJ; Cantarutti A; Morabito G</x:t>
  </x:si>
  <x:si>
    <x:t xml:space="preserve">Heart &amp; lung : the journal of critical care</x:t>
  </x:si>
  <x:si>
    <x:t xml:space="preserve">10.1016/j.hrtlng.2025.05.020</x:t>
  </x:si>
  <x:si>
    <x:t xml:space="preserve">40480859</x:t>
  </x:si>
  <x:si>
    <x:t xml:space="preserve">https://pubmed.ncbi.nlm.nih.gov/40480859/</x:t>
  </x:si>
  <x:si>
    <x:t xml:space="preserve">SCR_000118</x:t>
  </x:si>
  <x:si>
    <x:t xml:space="preserve">SGLT2 inhibitors and cardiovascular outcomes in patients with left ventricular assist devices.</x:t>
  </x:si>
  <x:si>
    <x:t xml:space="preserve">INTRODUCTION: Left ventricular assist devices (LVADs) provide critical support for patients with advanced heart failure (HF), but complications and suboptimal outcomes remain challenges. Sodium-glucose cotransporter 2 (SGLT2) inhibitors have shown promise in HF, but their role in patients with LVADs is not well established. We aimed to evaluate the association of SGLT2 inhibitors with clinical outcomes and heart transplantation rates in patients with LVADs. METHODS: We conducted a retrospective cohort study using the TriNetX Network (2014-2022) to identify all adults (≥18 years old) with LVADs. Patients were stratified into SGLT2 inhibitor users and non-users during LVAD-supported period. Propensity score matching (1:1, PSM) was performed to balance baseline characteristics between two cohorts. Efficacy outcomes included all-cause mortality/hospitalization, HF exacerbations, acute myocardial infarction, cerebral infarction, cardiac arrest, and heart transplant. Safety outcomes included acute kidney injury (AKI), urinary tract infection (UTI), and urogenital candidiasis. Adjusted odds ratios (aORs) with 95 % confidence intervals (CIs) were calculated. RESULTS: Among 3736 patients with LVADs, 1106 received SGLT2 inhibitors from 2014 to 2022. After PSM, 656 patients were included in each group. SGLT2 inhibitor use was associated with lower risks of all-cause mortality [0.571 (95 % CI, 0.430-0.759)], all-cause hospitalization [aOR 0.619 (0.478-0.802)], acute HF exacerbations [aOR 0.687 (0.539-0.877)], cerebral infarction [aOR 0.676 (0.501-0.912)], and cardiac arrest [aOR 0.441 (0.269-0.725)]. No significant differences were observed for heart transplantation rates [aOR 1.084 (0.834-1.408)] or acute MI [aOR 0.881 (0.663-1.172)]. Safety outcomes favored SGLT2 inhibitor cohort with lower risks of AKI [aOR 0.767 (0.617-0.954)], with no significant difference for UTI [aOR 0.730 (0.527-1.012)] or urogenital candidiasis [aOR 1.000 (0.413-2.419)]. CONCLUSIONS: SGLT2 inhibitor use in LVAD-supported patients was associated with improved survival, reduced hospitalizations and heart failure exacerbation alongside favorable safety outcomes. These findings support further investigation into SGLT2 inhibitors as a potential adjunctive therapy in the management of patients with LVADs.</x:t>
  </x:si>
  <x:si>
    <x:t xml:space="preserve">Pham HN; Ibrahim R; Mee XC; Lim GK; Abdelnabi M; Forst B; Sarkis P; Bcharah G; Farina J; Ayoub C; Singh A; Arsanjani R; Chahal A; Lee K</x:t>
  </x:si>
  <x:si>
    <x:t xml:space="preserve">Journal of cardiology</x:t>
  </x:si>
  <x:si>
    <x:t xml:space="preserve">10.1016/j.jjcc.2025.05.004</x:t>
  </x:si>
  <x:si>
    <x:t xml:space="preserve">40412616</x:t>
  </x:si>
  <x:si>
    <x:t xml:space="preserve">https://pubmed.ncbi.nlm.nih.gov/40412616/</x:t>
  </x:si>
  <x:si>
    <x:t xml:space="preserve">SCR_000119</x:t>
  </x:si>
  <x:si>
    <x:t xml:space="preserve">Impact of SGLT2-inhibitors on acute kidney injury in diabetic patients with severe aortic stenosis undergoing transcatheter aortic valve implantation (TAVI).</x:t>
  </x:si>
  <x:si>
    <x:t xml:space="preserve">BACKGROUND: Acute kidney injury (AKI) following transcatheter aortic valve implantation (TAVI) is associated with significantly worse outcomes, leading to increased short- and long-term mortality. We sought to evaluate the impact of sodium-glucose cotransporter 2 inhibitors (SGLT2i) on the risk of AKI in patients with type 2 diabetes mellitus (T2DM) and severe aortic stenosis (AS) undergoing TAVI. METHODS: Multicenter international registry of consecutive T2DM patients with severe AS undergoing TAVI between 2021 and 2024. The study population was stratified by the presence of chronic kidney disease (CKD), defined according to the KDIGO guideline, and anti-diabetic therapy at hospital admission (SGLT2i versus no-SGLT2i users). AKI was defined according to the Valve Academy Research Consortium 3 (VARC-3) criteria. RESULTS: The study population consisted of 514 patients stratified into those without CKD (n = 226, 44%), of whom 43 (19%) were treated with SGLT2i, and 288 (56%) with CKD, of whom 71 (24.7%) were on SGLT2i treatment. The median age was 81 [77-84] years, and 60.1% were males. SGLT2i use did not impact renal function in patients without CKD, with AKI occurring in 7.1% of the cases, regardless of SGLT2i use. Among CKD patients, AKI occurred more frequently in no-SGLT2i users compared to those receiving SGLT2i (19.8% versus 8.5%, p = 0.027), with a significant increase in post-TAVI and discharge serum creatinine values for no-SGLT2i users (p = 0.001 after TAVI and p &lt; 0.001 at hospital discharge). Only in the CKD group, the use of SGLT2i was identified as an independent predictor of a lower rate of AKI (OR 0.70, 95%CI 0.42-0.91, p = 0.014). Patients who developed AKI had a higher incidence of major adverse cardiovascular events during follow-up, regardless of CKD (p &lt; 0.025 for both groups). CONCLUSION: In diabetic patients with CKD undergoing TAVI, SGLT2i therapy was associated with a lower occurrence of AKI compared to those not treated with SGLT2i, suggesting a potential nephroprotective effect in this high-risk population.</x:t>
  </x:si>
  <x:si>
    <x:t xml:space="preserve">Paolisso P; Belmonte M; Gallinoro E; Scarsini R; Bergamaschi L; Portolan L; Armillotta M; Esposito G; Moscarella E; Montalto C; de Oliveira EK; Angeli F; Orzalkiewicz M; Fabroni M; Galli V; Baydaroglu N; Di Lenarda F; Policastro P; Terrone C; Ausiello D; Vincelli G; Casenghi M; Scisciola L; Marfella R; Gragnano F; Conte E; Pellegrini D; Ielasi A; Andreini D; Oreglia JA; Calabrò P; Bartorelli AL; Palmerini T; Saia F; Ribichini F; Barbieri M; Vanderheyden M; Pizzi C; Barbato E</x:t>
  </x:si>
  <x:si>
    <x:t xml:space="preserve">Cardiovascular diabetology</x:t>
  </x:si>
  <x:si>
    <x:t xml:space="preserve">10.1186/s12933-025-02773-x</x:t>
  </x:si>
  <x:si>
    <x:t xml:space="preserve">40399991</x:t>
  </x:si>
  <x:si>
    <x:t xml:space="preserve">Journal Article; Multicenter Study; Observational Study</x:t>
  </x:si>
  <x:si>
    <x:t xml:space="preserve">https://pubmed.ncbi.nlm.nih.gov/40399991/</x:t>
  </x:si>
  <x:si>
    <x:t xml:space="preserve">SCR_000120</x:t>
  </x:si>
  <x:si>
    <x:t xml:space="preserve">Impact of SGLT2 Inhibitor Therapy on Patients Undergoing Cardiac Surgery.</x:t>
  </x:si>
  <x:si>
    <x:t xml:space="preserve">Sodium-glucose cotransporter-2 (SGLT2) inhibitors (SGLT2i) are nephroprotective in patients with recompensated acute and chronic heart failure (HF) and chronic kidney disease, but their potential influence during cardiac surgery is unclear. Currently, discontinuation of SGLT2i at least 2 days before surgery is recommended.Between March 2022 and December 2023, 53 cardiac surgical patients on SGLT2i therapy in addition to standard medical treatment for HF were compared with 447 other HF patients from the same period. After 1:1 covariate adjustment, 33 patients with SGLT2i treatment were matched with 33 controls. The primary endpoint was a change in estimated glomerular filtration rate (eGFR) 36 hours after surgery. Secondary endpoints were changes in eGFR, cumulative urine output, diuretic efficacy, and albuminuria over seven postoperative days.Mean baseline eGFR was similar between the groups (p = 0.973). Thirty-six hours postoperatively, eGFR was significantly higher in the SGLT2i group by a mean difference (MD) of 11.8 mL/min (95% CI [3.12-20.44]; p = 0.009) compared with the control group. The mean urinary albumin level was 18.1 mg/mL lower in the SGLT2i group (95% CI [-42.5-6.33]; p = 0.143). There were numerically positive changes in urine output and diuretic efficacy in the SGLT2i group without significant difference: MD 131.4 mL/24 hours (95% CI [-366.7-629.5]; p = 0.600) and MD 11.3 mL/mg (95% CI [-12.2-34.7]; p = 0.301), respectively, although the dosage of diuretics was higher in controls (30.6 ± 43.7 vs. 51.3 ± 130.1 mg/24 hours; p = 0.268, respectively).SGLT2i may have nephroprotective effects in patients undergoing heart surgery with extracorporeal circulation. More evidence is needed to determine whether SGTL2i needs to be discontinued before surgery.</x:t>
  </x:si>
  <x:si>
    <x:t xml:space="preserve">Taghiyev ZT; Beier LM; Leweling C; Gunkel S; Sadowski KM; Assmus B; Boening A</x:t>
  </x:si>
  <x:si>
    <x:t xml:space="preserve">The Thoracic and cardiovascular surgeon</x:t>
  </x:si>
  <x:si>
    <x:t xml:space="preserve">10.1055/a-2616-4962</x:t>
  </x:si>
  <x:si>
    <x:t xml:space="preserve">40393690</x:t>
  </x:si>
  <x:si>
    <x:t xml:space="preserve">https://pubmed.ncbi.nlm.nih.gov/40393690/</x:t>
  </x:si>
  <x:si>
    <x:t xml:space="preserve">SCR_000121</x:t>
  </x:si>
  <x:si>
    <x:t xml:space="preserve">Retrospective Chart Review of Euglycemic Diabetic Ketoacidosis Rates and Outcomes Postimplementation of Sodium Glucose Cotransporter 2 Inhibitor Use Stoppage 5 Days Before Open Heart Surgery.</x:t>
  </x:si>
  <x:si>
    <x:t xml:space="preserve">OBJECTIVES: Outcomes of stopping sodium-glucose cotransporter 2 inhibitors (SGLT2i) 5 days before open heart surgery (euglycemic diabetic ketoacidosis [eDKA] rate, mortality, infection, hospital, and cardiovascular intensive care unit [CVICU] length of stay [LOS]). DESIGN: Retrospective study. SETTING: Academic university hospital. PARTICIPANTS: Adult open heart surgery patients. EXPOSURES: Patients on SGLT2i who stopped medications 5 days before open heart surgery versus non-SGLT2i-using patients. MEASUREMENTS AND MAIN RESULTS: We evaluated patients who were told to stop SGLT2i 5 days before receiving open heart surgery for eDKA development within 24 hours of hospital admission (12/14/2022 to 10/25/2023). Non-eDKA outcomes were compared between SGLT2i users and non-users using Wilcoxon rank sum and Chi-square testing as appropriate. Of 540 open heart surgery patients, 48 (8.9%) were prescribed SGLT2i's before surgery; of these, 0 (0%) developed eDKA within 24 hours of hospital admission. Hospital LOS was statistically longer for patients with SGLT2i use (median [interquartile range]: 4 [4-5] v 4 [3-6] days, p = 0.003; mean [standard deviation]: 4 [3] v 5 [2], p = 0.03). We found no significant difference between patients with and without SGLT2i use in CVICU LOS (median [interquartile range]: 1.67 [0.95-2.09] v 1.17 [0.96-1.88] days, p = 0.14), in-hospital mortality (2.1% [1] v 0.6% [3], p = 0.3), or sternal infections (0 [0.0%] v 2 [0.4%], p &gt; 0.9). CONCLUSION: Postoperative eDKA was absent in SGLT2i patients told to stop medications 5 days before open heart surgery. LOS and infection and mortality rates appeared similar between the two cohorts. Stopping SGLT2i medications 5 days before open heart surgery appears safe.</x:t>
  </x:si>
  <x:si>
    <x:t xml:space="preserve">Auerbach JS; Alnajar A; Patel SS; Gershengorn HB; Lamelas J; Perez D; Aljure OD; Ferreira TD; Gonzalez LA; Cabrera JL</x:t>
  </x:si>
  <x:si>
    <x:t xml:space="preserve">10.1053/j.jvca.2025.02.030</x:t>
  </x:si>
  <x:si>
    <x:t xml:space="preserve">40090790</x:t>
  </x:si>
  <x:si>
    <x:t xml:space="preserve">https://pubmed.ncbi.nlm.nih.gov/40090790/</x:t>
  </x:si>
  <x:si>
    <x:t xml:space="preserve">SCR_000122</x:t>
  </x:si>
  <x:si>
    <x:t xml:space="preserve">Sodium-glucose cotransporter-2 inhibitor use in patients with a Fontan circulation.</x:t>
  </x:si>
  <x:si>
    <x:t xml:space="preserve">BACKGROUND: Sodium-glucose cotransporter-2 inhibitors reduce cardiovascular outcomes in patients with congestive heart failure and a biventricular circulation. Congestive heart failure in Fontan univentricular circulation is distinctly different. Experience with sodium-glucose cotransporter-2 inhibitors in this group has not yet been well described. OBJECTIVES: This work describes safety and tolerability of sodium-glucose cotransporter-2 inhibitors in patients with Fontan circulation. METHODS: Single-centre review of patients with Fontan circulation prescribed a sodium-glucose cotransporter-2 inhibitors for congestive heart failure. Primary outcome was tolerability or need for discontinuation. Secondary outcomes were changes in New York Heart Association class, congestive heart failure hospitalisation, ventricular function, exercise performance, and laboratory values. RESULTS: We identified 25 patients with Fontan circulation prescribed an sodium-glucose cotransporter-2 inhibitors, most with a systemic right ventricle. Over a third of subjects had at least moderately reduced baseline ventricular function. Baseline catheterisation showed a mean Fontan pressure of 17.1 ± 3.7 mmHg and pulmonary capillary wedge pressure 11.7 ± 3.2 mmHg at rest; 59% had occult diastolic dysfunction with abnormal pulmonary capillary wedge pressure elevation following volume expansion. Most were on congestive heart failure medications and/or a pulmonary vasodilator prior to sodium-glucose cotransporter-2 inhibitors addition, and three had a congestive heart failure hospitalisation within the previous year. All reported good medication tolerance except one patient was nonadherent to medications and two discontinued sodium-glucose cotransporter-2 inhibitors for perceived side effects. There were no significant differences in secondary outcomes. There was, however, a downward trend of serum brain natriuretic peptide (n = 13) and improved peak VO2 (n = 6), though neither statistically significant (p &gt; 0.05). CONCLUSION: This series, the largest published to date, suggests that sodium-glucose cotransporter-2 inhibitors are safe and tolerable congestive heart failure therapy in Fontan circulation. Further research is warranted to explore therapy in this unique population.</x:t>
  </x:si>
  <x:si>
    <x:t xml:space="preserve">Gaydos SS; McHugh KE; Woodard FK; Judd RN; Brenzel TJ; Henderson HT; Savage AJ; Atz AM; Gregg D</x:t>
  </x:si>
  <x:si>
    <x:t xml:space="preserve">Cardiology in the young</x:t>
  </x:si>
  <x:si>
    <x:t xml:space="preserve">10.1017/s1047951125000514</x:t>
  </x:si>
  <x:si>
    <x:t xml:space="preserve">40007432</x:t>
  </x:si>
  <x:si>
    <x:t xml:space="preserve">https://pubmed.ncbi.nlm.nih.gov/40007432/</x:t>
  </x:si>
  <x:si>
    <x:t xml:space="preserve">SCR_000123</x:t>
  </x:si>
  <x:si>
    <x:t xml:space="preserve">The Influence of Empagliflozin on the Expression of Mitochondrial Regulatory Proteins in Human Myocardium in an Ex Vivo Model of Short-Term Atrial Tachypacing.</x:t>
  </x:si>
  <x:si>
    <x:t xml:space="preserve">Atrial fibrillation (AF) is associated with energetic deficiency and oxidative stress due to mitochondrial dysfunction, resulting in electric remodeling. Long-term treatment was found to ameliorate mitochondrial function and decrease inducibility in animal models. No studies examine the short-term effect of SGLT-2 inhibitors administration in AF. In the present study, the samples of the right atrial appendage collected from 10 patients subjected to elective cardiac surgery were sliced and incubated in a control buffer (EMPA 0), 0.2 µmol/L empagliflozin (EMPA 0.2), or 1.0 µmol/L (EMPA 1). The expression of mitochondrial biogenesis, fission, and fusion proteins was measured by Western blot after 30 min of electrical stimulation (control-1 Hz or tachypacing-5 Hz). The PGC-1α protein expression was increased after 30 min of stimulation with 1 Hz when incubated under a higher concentration of empagliflozin. After tachypacing, EMPA 0.2 increased PGC-1α, while EMPA 1.0 upregulated NRF-1. Both concentrations increased NRF-2 during control stimulation. The oxygen consumption was higher in AF, and was decreased by SGLT-2i. Empagliflozin exerts dynamic effects on the expression of PGC-1α and other proteins involved in mitochondrial function and oxidative stress in cardiomyocytes and may modulate cellular response to tachycardia.</x:t>
  </x:si>
  <x:si>
    <x:t xml:space="preserve">Muszyński P; Cieślińska M; Dziemidowicz M; Bonda-Ostaszewska E; Hirnle T; Bonda TA</x:t>
  </x:si>
  <x:si>
    <x:t xml:space="preserve">International journal of molecular sciences</x:t>
  </x:si>
  <x:si>
    <x:t xml:space="preserve">10.3390/ijms26041664</x:t>
  </x:si>
  <x:si>
    <x:t xml:space="preserve">40004127</x:t>
  </x:si>
  <x:si>
    <x:t xml:space="preserve">https://pubmed.ncbi.nlm.nih.gov/40004127/</x:t>
  </x:si>
  <x:si>
    <x:t xml:space="preserve">SCR_000124</x:t>
  </x:si>
  <x:si>
    <x:t xml:space="preserve">Effects of SGLT2 inhibitors on transplant survival and key clinical outcomes in heart transplant recipients with diabetes.</x:t>
  </x:si>
  <x:si>
    <x:t xml:space="preserve">BACKGROUND: Chronic kidney disease and heart allograft vasculopathy are the primary causes of morbidity and mortality after cardiac transplant. This study aimed to evaluate the impact of sodium-glucose cotransporter-2 inhibitors (SGLT2i) on transplant survival, cardiovascular events, dialysis, and all-cause mortality in diabetes patients who have undergone heart transplantation. METHODS: In this research, we adopted data from the TriNetX collaborative network to observe outcomes in patients who underwent heart transplants between January 01, 2015 and December 31, 2022. A total of 6494 transplant recipients were identified, from which 1063 matched pairs of SGLT2i users and non-users were selected using propensity score matching. The Kaplan-Meier analysis and Cox proportional hazards models were applied to compare the risks of various outcomes between the study and control groups. RESULTS: In propensity-matched cohorts, patients using SGLT2i exhibited a lower risk of dialysis [hazard ratio (HR) (95% confidence interval [CI]): 0.566 (0.385-0.833)], graft rejection and failure [0.873 (0.774-0.985)], hospitalizations [0.822 (0.739-0.916)], and all-cause death [0.767 (0.627-0.938)] compared to non-users. Yet, no significant differences were observed between the two groups in the risks of post-transplant infection or sepsis [0.891 (0.739-1.075)], ischemic heart disease (HR: 1.044, 95% CI: 0.939-1.161), and heart failure worsening [0.915 (0.733-1.144)]. CONCLUSION: This multicenter cohort study demonstrated that cardiac transplant recipients with diabetes who received SGLT2i had a significantly lower risk of dialysis, graft rejection, hospitalization, and all-cause mortality compared to those who did not receive SGLT2i.</x:t>
  </x:si>
  <x:si>
    <x:t xml:space="preserve">Yen FS; Hung YM; Huang JY; Hsu CC; Cheng WY; Hwu CM; Wei JC</x:t>
  </x:si>
  <x:si>
    <x:t xml:space="preserve">Journal of internal medicine</x:t>
  </x:si>
  <x:si>
    <x:t xml:space="preserve">10.1111/joim.20077</x:t>
  </x:si>
  <x:si>
    <x:t xml:space="preserve">39996266</x:t>
  </x:si>
  <x:si>
    <x:t xml:space="preserve">https://pubmed.ncbi.nlm.nih.gov/39996266/</x:t>
  </x:si>
  <x:si>
    <x:t xml:space="preserve">SCR_000125</x:t>
  </x:si>
  <x:si>
    <x:t xml:space="preserve">Diagnosis of Turner syndrome after presenting with ischemic cardiomyopathy: A case report.</x:t>
  </x:si>
  <x:si>
    <x:t xml:space="preserve">Untreated Turner syndrome increases the risk of ischemic cardiomyopathy. We report a 44-year-old Chinese woman who was diagnosed with Turner syndrome owing to symptoms of ischemic cardiomyopathy and heart failure confirmed through cardiac magnetic resonance imaging, coronary angiography, and abnormal brain natriuretic peptide levels. The patient had a short stature, underdeveloped uterus with primary amenorrhea, and congenital left upper pulmonary vein reflux to the right atrium; she was diagnosed with Turner syndrome through karyotype analysis. Because she refused coronary artery bypass grafting, she received aspirin, torasemide, atorvastatin, bisoprolol, sacubitril/valsartan, empagliflozin, spironolactone, and complex packing estradiol tablets/estradiol and dydrogesterone tablets (1-10 mg). After 3 months of treatment, her heart failure symptoms disappeared. Ischemic heart disease is a high-risk complication in patients with Turner syndrome. Prompt diagnosis and comprehensive management through a multidisciplinary approach can improve patient outcomes. Further evidence is needed to establish a secondary prevention strategy for Turner syndrome with ischemic cardiomyopathy.</x:t>
  </x:si>
  <x:si>
    <x:t xml:space="preserve">Zheng H; Guo L; Wei Y; Zhang Y; Guan Y</x:t>
  </x:si>
  <x:si>
    <x:t xml:space="preserve">SAGE open medical case reports</x:t>
  </x:si>
  <x:si>
    <x:t xml:space="preserve">10.1177/2050313x251318519</x:t>
  </x:si>
  <x:si>
    <x:t xml:space="preserve">39901965</x:t>
  </x:si>
  <x:si>
    <x:t xml:space="preserve">https://pubmed.ncbi.nlm.nih.gov/39901965/</x:t>
  </x:si>
  <x:si>
    <x:t xml:space="preserve">SCR_000126</x:t>
  </x:si>
  <x:si>
    <x:t xml:space="preserve">Preoperative dapagliflozin use and cardiac surgery-associated acute kidney injury: A single-center retrospective cohort study.</x:t>
  </x:si>
  <x:si>
    <x:t xml:space="preserve">BACKGROUND: No drug has been shown to be effective in preventing cardiac surgery-associated acute kidney injury (CSA-AKI). In different clinical settings, sodium-glucose transporter 2 (SGLT2) inhibitors confer renal protection and may be promising drug candidates. We examined the association between preoperative dapagliflozin use and the incidence and prognosis of CSA-AKI. MATERIALS AND METHODS: Data were obtained for consecutive patients undergoing cardiac surgery with cardiopulmonary bypass between December 2020 and November 2022 at a large teaching hospital in Eastern China. The exposure was preoperative dapagliflozin use, and the primary outcome was the incidence of AKI within seven days following cardiac surgery. The secondary outcomes included dialysis, death, AKI recovery, and length of hospitalization. The association between the exposures and outcomes was determined by various logistic regression models with propensity scores. RESULTS: A total of 1,424 patients were included, of which 201 (14.1%) received dapagliflozin preoperatively, and 321 (22.5%) developed CSA-AKI. Patients with dapagliflozin use developed CSA-AKI more frequently than those without (32.3 vs. 20.9%, unadjusted odds ratio 1.81; 95% CI, 1.30 - 2.50). However, the association became non-significant in the multivariate model (adjusted odds ratio, 1.11; 95% CI, 0.73 - 1.68), in the adjusted model with inverse probability weighting (odds ratio, 1.21; 95% CI, 0.76 - 1.93), or in the propensity-score-matched model (odds ratio, 1.09, 95% CI, 0.68 - 1.73). Furthermore, there was no significant association between preoperative dapagliflozin use and secondary outcomes. CONCLUSION: Results from this study suggest that preoperative dapagliflozin use was not associated with a lower risk of CSA-AKI.</x:t>
  </x:si>
  <x:si>
    <x:t xml:space="preserve">Chen Z; Liu K; Liu X; Wu B; Huang Z; Xing C; Mao H</x:t>
  </x:si>
  <x:si>
    <x:t xml:space="preserve">Clinical nephrology</x:t>
  </x:si>
  <x:si>
    <x:t xml:space="preserve">10.5414/cn111514</x:t>
  </x:si>
  <x:si>
    <x:t xml:space="preserve">39841011</x:t>
  </x:si>
  <x:si>
    <x:t xml:space="preserve">https://pubmed.ncbi.nlm.nih.gov/39841011/</x:t>
  </x:si>
  <x:si>
    <x:t xml:space="preserve">SCR_000127</x:t>
  </x:si>
  <x:si>
    <x:t xml:space="preserve">Experience with sodium glucose cotransporter-2 inhibitors in adult patients with Fontan circulation.</x:t>
  </x:si>
  <x:si>
    <x:t xml:space="preserve">BACKGROUND: We still know little about the effective pharmacological treatment of heart failure (HF) associated with the Fontan circulation. One of the new options may be sodium glucose cotransporter-2 inhibitors (SGLT2i), which have been proven effective in classic forms of left ventricular HF. OBJECTIVES: To evaluate the effect and safety of SGLT2i inclusion in adults with Fontan circulation. To this end, we conducted observation and complex diagnostics of adult Fontan patients in whom we started treatment with flozins. MATERIAL AND METHODS: The study population consisted of 17 adult Fontan patients with average age 30.5 (9.7) years, 59% in II New York Heart Association (NYHA) class, among whom 53% received dapagliflozin and rest empagliflozin. RESULTS: The average observation time was 11.0 (3.7) months. None of the patients have reported side effects or complications related to treatment. We observed a significant increase (20.1 mL/kg/min vs 24.2 mL/kg/min, p = 0.008) in the median of maximum oxygen uptake (VO2 max) among participants (9) who completed at least 2 reliable cardiopulmonary exercise tests. We did not notice any significant differences in N-terminal prohormone of brain natriuretic peptide concentration (641.35 (923.7) vs 741.47 (1,139.02), p = 0.12) after the inclusion. Interestingly, we observed a significant increase in erythrocytes (+6%, p = 0.003), hemoglobin (+7%, p = 0.03) and hematocrit (+7%, p = 0.02). CONCLUSIONS: To the best of our knowledge, this is the first study to demonstrate that the implementation of SGLT2i may have a positive effect on exercise capacity among adults with Fontan circulation. Our experience confirms the high safety of using these drugs in Fontan adults.</x:t>
  </x:si>
  <x:si>
    <x:t xml:space="preserve">Skorek P; Frączek-Jucha MM; Sarnecka A; Skubera M; Libiszewska N; Tomkiewicz-Pająk L</x:t>
  </x:si>
  <x:si>
    <x:t xml:space="preserve">Advances in clinical and experimental medicine : official organ Wroclaw Medical University</x:t>
  </x:si>
  <x:si>
    <x:t xml:space="preserve">10.17219/acem/194617</x:t>
  </x:si>
  <x:si>
    <x:t xml:space="preserve">39807605</x:t>
  </x:si>
  <x:si>
    <x:t xml:space="preserve">https://pubmed.ncbi.nlm.nih.gov/39807605/</x:t>
  </x:si>
  <x:si>
    <x:t xml:space="preserve">SCR_000128</x:t>
  </x:si>
  <x:si>
    <x:t xml:space="preserve">[Recent Topics on Heart Failure].</x:t>
  </x:si>
  <x:si>
    <x:t xml:space="preserve">Japan is currently experiencing a significant increase in the number of patients with heart failure driven by its rapidly aging population, a phenomenon termed the heart failure pandemic. This trend is particularly alarming because heart failure severely affects life expectancy, making it a critical public health issue. The rising number of heart failure cases has highlighted the importance of early diagnosis and intervention, with heart failure now classified into distinct stages to better tailor treatment strategies. Recent advancements in treatment, including new pharmacological options such as SGLT2 inhibitors and non-pharmacological approaches such as transcatheter aortic valve implantation and catheter ablation, have significantly improved patient outcomes. These treatments are particularly effective in managing the complexities of heart failure, especially in older patients. However, the success of these treatments also relies on a comprehensive approach involving multidisciplinary teams working together to provide holistic care. These therapeutic innovations underscore the importance of continued adaptation and research to sustain the effectiveness of heart failure treatment in the evolving healthcare environment of Japan's aging population.</x:t>
  </x:si>
  <x:si>
    <x:t xml:space="preserve">Seo Y</x:t>
  </x:si>
  <x:si>
    <x:t xml:space="preserve">No shinkei geka. Neurological surgery</x:t>
  </x:si>
  <x:si>
    <x:t xml:space="preserve">10.11477/mf.1436205036</x:t>
  </x:si>
  <x:si>
    <x:t xml:space="preserve">39622325</x:t>
  </x:si>
  <x:si>
    <x:t xml:space="preserve">Journal Article; Review; English Abstract</x:t>
  </x:si>
  <x:si>
    <x:t xml:space="preserve">jpn</x:t>
  </x:si>
  <x:si>
    <x:t xml:space="preserve">https://pubmed.ncbi.nlm.nih.gov/39622325/</x:t>
  </x:si>
  <x:si>
    <x:t xml:space="preserve">SCR_000129</x:t>
  </x:si>
  <x:si>
    <x:t xml:space="preserve">SGLT2-inhibitors in diabetic patients with severe aortic stenosis and cardiac damage undergoing transcatheter aortic valve implantation (TAVI).</x:t>
  </x:si>
  <x:si>
    <x:t xml:space="preserve">BACKGROUND: A substantial number of patients with severe aortic stenosis (AS) undergoing transcatheter aortic valve implantation (TAVI) experience adverse events after TAVI, with health care expenditure. We aimed to investigate cardiac remodeling and long-term outcomes in diabetic patients with severe AS, left ventricular ejection fraction (LVEF) &lt; 50%, and extra-valvular cardiac damage (EVCD) undergoing TAVI treated with sodium-glucose cotransporter-2 inhibitors (SGLT2i) versus other glucose-lowering strategies (no-SGLT2i users). METHODS: Multicenter international registry of consecutive diabetic patients with severe AS, LVEF &lt; 50%, and EVCD undergoing TAVI. Based on glucose-lowering therapy at hospital discharge, patients were stratified in SGLT2i versus no-SGLT2i users. The primary endpoint was a composite of all-cause death and heart failure (HF)-hospitalization (major adverse cardiovascular events, MACE) at 2-year follow-up. Secondary outcomes included all-cause death, cardiovascular death, and HF hospitalization. RESULTS: The study population included 311 patients, among which 24% were SGLT2i users. Within 1-year after TAVI, SGLT2i users experienced a higher rate of LV recovery (p = 0.032), especially those with baseline LVEF ≤ 30% (p = 0.026), despite the lower baseline LVEF. Patients not treated with SGLT2i were more likely to progress to a worse EVCD stage over time (p = 0.018). At 2-year follow-up, SGLT2i use was associated with a lower rate of MACE, all-cause death, and HF hospitalization (p &lt; 0.01 for all). After adjusting for confounding factors, the use of SGLT2i emerged as an independent predictor of reduced MACE (HR = 0.45; 95% CI 0.17-0.75; p = 0.007), all-cause death (HR = 0.51; 95% CI 0.25-0.98; p = 0.042) and HF-hospitalization (HR = 0.40; 95% CI 0.27-0.62; p = 0.004). CONCLUSIONS: In diabetic patients with severe AS, LVEF &lt; 50%, and EVCD undergoing TAVI, the use of SGLT2i was associated with a more favorable cardiac remodeling and a reduced risk of MACE at 2-year follow-up.</x:t>
  </x:si>
  <x:si>
    <x:t xml:space="preserve">Paolisso P; Belmonte M; Gallinoro E; Scarsini R; Bergamaschi L; Portolan L; Armillotta M; Esposito G; Moscarella E; Benfari G; Montalto C; Shumkova M; de Oliveira EK; Angeli F; Orzalkiewicz M; Fabroni M; Baydaroglu N; Munafò AR; D'Atri DO; Casenghi M; Scisciola L; Barbieri M; Marfella R; Gragnano F; Conte E; Pellegrini D; Ielasi A; Andreini D; Penicka M; Oreglia JA; Calabrò P; Bartorelli A; Pizzi C; Palmerini T; Vanderheyden M; Saia F; Ribichini F; Barbato E</x:t>
  </x:si>
  <x:si>
    <x:t xml:space="preserve">10.1186/s12933-024-02504-8</x:t>
  </x:si>
  <x:si>
    <x:t xml:space="preserve">39574095</x:t>
  </x:si>
  <x:si>
    <x:t xml:space="preserve">Journal Article; Multicenter Study; Observational Study; Research Support, Non-U.S. Gov't</x:t>
  </x:si>
  <x:si>
    <x:t xml:space="preserve">https://pubmed.ncbi.nlm.nih.gov/39574095/</x:t>
  </x:si>
  <x:si>
    <x:t xml:space="preserve">SCR_000130</x:t>
  </x:si>
  <x:si>
    <x:t xml:space="preserve">Sodium-glucose co-transporter 2 inhibitors in left ventricular assist device and heart transplant recipients: a mini-review.</x:t>
  </x:si>
  <x:si>
    <x:t xml:space="preserve">In recent years, sodium-glucose co-transporter 2 inhibitors (SGLT2i) emerged as promising therapeutic agents in managing heart failure (HF). They demonstrated a significant impact on reducing HF hospitalizations and related mortality in patients with reduced and preserved ejection fraction. However, evidence supporting their use in patients with left ventricular assist device (LVAD) and heart transplant (HT) recipients is still limited. We identified six key studies investigating the safety and efficacy of SGLT2i in LVAD and HT recipients. In patients with LVAD, prescription of SGLT2i was predominantly associated with improved fluid management and reduced pulmonary artery pressures. However, the results regarding their effects on body weight, hemoglobin A1c, diuretic use, and right ventricular function were contradictory. In terms of safety, SGLT2i were generally well-tolerated in the LVAD population, and the reported incidence of adverse events was low. In HT recipients, SGLT2i were associated with better glycemic control and weight reduction. No relevant adverse events were reported. Despite these encouraging results, the long-term safety and efficacy of SGLT2i in these vulnerable patient populations are yet to be investigated. Future randomized controlled trials are needed to address existing gaps in evidence and help integrate SGLT2i into clinical practice for LVAD and HT recipients.</x:t>
  </x:si>
  <x:si>
    <x:t xml:space="preserve">Alyaydin E; Parianos D; Hermes-Laufer J; Nägele MP; Castro L; Papathanasiou M; Reinecke H; Flammer AJ</x:t>
  </x:si>
  <x:si>
    <x:t xml:space="preserve">10.1007/s10741-024-10465-z</x:t>
  </x:si>
  <x:si>
    <x:t xml:space="preserve">39514145</x:t>
  </x:si>
  <x:si>
    <x:t xml:space="preserve">https://pubmed.ncbi.nlm.nih.gov/39514145/</x:t>
  </x:si>
  <x:si>
    <x:t xml:space="preserve">SCR_000131</x:t>
  </x:si>
  <x:si>
    <x:t xml:space="preserve">ECLIPSES: Early initiation of sodium glucose cotransporter-2 inhibitors for cardiovascular protection in patients with type 2 diabetes following acute coronary syndrome and subsequent coronary artery bypass graft surgery.</x:t>
  </x:si>
  <x:si>
    <x:t xml:space="preserve">INTRODUCTION: There is a paucity of data evaluating early initiation of sodium-glucose cotransporter-2 inhibitors (SGLT2i) in patients with diabetes following acute coronary syndrome (ACS) and coronary artery bypass graft surgery (CABG). OBJECTIVES: To describe the efficacy and safety of SGLT2i initiated early after CABG in patients with type 2 diabetes who experienced ACS. METHODS: This is a retrospective cohort study of patients with type 2 diabetes (T2DM) who experienced ACS and subsequent CABG with follow up at 3 and 12 months. Patients who filled a SGLT2i prescription within 14 days of discharge were allocated to the SGLT2i group and those who did not were included in the no SGLT2i group. The primary efficacy end point was first occurrence of a 4-point Major Adverse Cardiovascular Event (MACE), and the primary safety end point was a composite of hypoglycemia, hypotension, diabetic ketoacidosis, acute kidney injury, and urinary tract infection. Secondary end points included a comparative analysis of the primary outcome, 30-day readmission rates, and subgroup analyses of key populations. RESULTS: A total of 1629 patients were included: 226 received a SGLT2i within 14 days of discharge and 1403 did not. At 12 months, 8.9% and 15.3% of patients experienced MACE in the SGLT2i and no SGLT2i groups, respectively (adjusted Hazard Ratio [aHR] 0.65, 95% confidence interval [CI] 0.41-1.04). The primary safety outcome occurred in 12.0% of the SGLT2i group and 19.1% of the no SGLT2i group at 12 months (aHR 0.68, 95% CI 0.45-1.01). CONCLUSION: Early initiation of SGLT2i use was not associated with a reduction in MACE in patients with T2DM who experienced ACS and underwent subsequent CABG surgery. However, no apparent safety concerns were identified. Adequately powered trials are required to confirm this finding.</x:t>
  </x:si>
  <x:si>
    <x:t xml:space="preserve">Makortoff L; Then KL; Dutchak M; Lin M; Youngson E; Harten C</x:t>
  </x:si>
  <x:si>
    <x:t xml:space="preserve">Pharmacotherapy</x:t>
  </x:si>
  <x:si>
    <x:t xml:space="preserve">10.1002/phar.4620</x:t>
  </x:si>
  <x:si>
    <x:t xml:space="preserve">39460440</x:t>
  </x:si>
  <x:si>
    <x:t xml:space="preserve">https://pubmed.ncbi.nlm.nih.gov/39460440/</x:t>
  </x:si>
  <x:si>
    <x:t xml:space="preserve">SCR_000132</x:t>
  </x:si>
  <x:si>
    <x:t xml:space="preserve">Metabolic acidosis in patients with diabetes 2 undergoing cardiac surgery: The impact of SGLT2 inhibitor use: a retrospective cohort study.</x:t>
  </x:si>
  <x:si>
    <x:t xml:space="preserve">BACKGROUND: Sodium-glucose cotransporter 2 inhibitors (SGLT2-i) lower blood sugar and reduce cardiovascular events and kidney failure. However, there have been increasing reports of euglycaemic diabetic ketoacidosis (eDKA) linked to SGLT2-i medicines. OBJECTIVE: Investigating the association between SGLT2-i use and the incidence of metabolic acidosis in patients with type 2 diabetes undergoing cardiac surgery. DESIGN: A retrospective observational cohort study comprising 121 patients, with 38 in the SGLT2-i group and 83 in the control group. SETTING: A 2-year period at Haukeland University Hospital, a tertiary regional hospital in Western Norway. PATIENTS: Patients with type 2 diabetes undergoing cardiac surgery. INTERVENTIONS: Collection of clinical and laboratory data, including acid/base balance parameters, surgery details and SGLT2-i use. MAIN OUTCOME MEASURES: Base excess and anion gap measurements as indicators of ketosis development. A subgroup analysis in patients without renal failure (glomerular filtration rate &gt; 60 ml min -1 m -2 ) . RESULTS: Lower base excess levels and increased anion gaps were observed in the SGLT2-i group compared with controls at various time points postoperatively, with no significant differences in serum lactate levels.Twelve hours postoperatively, 41% of SGLT2-i patients without renal failure had a base excess -3 mmol l -1 or less after correction for serum lactate (indicating ketosis) compared with only 8% in the control group ( P &lt; 0.001). The anion gap was elevated in the SGLT2-i group compared to the control group at 12 h postoperatively ( P = 0.018).Multivariable regression analysis identified SGLT2-i use as an independent factor associated with a lower base excess after correction for lactate levels ( P &lt; 0.001). Cessation of SGLT2-i medication did not correlate with the degree of acidosis. CONCLUSION: While taking SGLT2 inhibitors, diabetic patients undergoing heart surgery are at an increased risk of ketosis and possibly metabolic acidosis. This emphasises the importance of careful observation and effective treatment strategies within this group.</x:t>
  </x:si>
  <x:si>
    <x:t xml:space="preserve">Brekke HK; Holmaas G; Astor MC; Steien E; Haaverstad R; Ghavidel FZ; Farstad M</x:t>
  </x:si>
  <x:si>
    <x:t xml:space="preserve">European journal of anaesthesiology</x:t>
  </x:si>
  <x:si>
    <x:t xml:space="preserve">10.1097/eja.0000000000002090</x:t>
  </x:si>
  <x:si>
    <x:t xml:space="preserve">39450428</x:t>
  </x:si>
  <x:si>
    <x:t xml:space="preserve">https://pubmed.ncbi.nlm.nih.gov/39450428/</x:t>
  </x:si>
  <x:si>
    <x:t xml:space="preserve">SCR_000133</x:t>
  </x:si>
  <x:si>
    <x:t xml:space="preserve">Heart Transplant Recipients: A New Test for Gliflozins.</x:t>
  </x:si>
  <x:si>
    <x:t xml:space="preserve">Nuzzi V; Cimino G; Del Medico M; Metra M; Cipriani MG</x:t>
  </x:si>
  <x:si>
    <x:t xml:space="preserve">Transplantation</x:t>
  </x:si>
  <x:si>
    <x:t xml:space="preserve">10.1097/tp.0000000000005010</x:t>
  </x:si>
  <x:si>
    <x:t xml:space="preserve">39320450</x:t>
  </x:si>
  <x:si>
    <x:t xml:space="preserve">Letter</x:t>
  </x:si>
  <x:si>
    <x:t xml:space="preserve">https://pubmed.ncbi.nlm.nih.gov/39320450/</x:t>
  </x:si>
  <x:si>
    <x:t xml:space="preserve">SCR_000134</x:t>
  </x:si>
  <x:si>
    <x:t xml:space="preserve">Early initiation of sodium-glucose cotransporter 2 inhibitors in patients undergoing cardiac surgery: Are we ready for prime time?</x:t>
  </x:si>
  <x:si>
    <x:t xml:space="preserve">Karangelis D; Koufakis T</x:t>
  </x:si>
  <x:si>
    <x:t xml:space="preserve">International journal of cardiology</x:t>
  </x:si>
  <x:si>
    <x:t xml:space="preserve">10.1016/j.ijcard.2024.132430</x:t>
  </x:si>
  <x:si>
    <x:t xml:space="preserve">39117076</x:t>
  </x:si>
  <x:si>
    <x:t xml:space="preserve">https://pubmed.ncbi.nlm.nih.gov/39117076/</x:t>
  </x:si>
  <x:si>
    <x:t xml:space="preserve">SCR_000135</x:t>
  </x:si>
  <x:si>
    <x:t xml:space="preserve">Empagliflozin and dapagliflozin decreased atrial monoamine oxidase expression and alleviated oxidative stress in overweight non-diabetic cardiac patients.</x:t>
  </x:si>
  <x:si>
    <x:t xml:space="preserve">The sodium-glucose-cotransporter 2 inhibitors (SGLT2i) are the blockbuster antidiabetic drugs that exert cardiovascular protection via pleiotropic effects. We have previously demonstrated that empagliflozin decreased monoamine oxidase (MAO) expression and oxidative stress in human mammary arteries. The present study performed in overweight, non-diabetic cardiac patients was aimed to assess whether the two widely prescribed SGLT2i decrease atrial MAO expression and alleviate oxidative stress elicited by exposure to angiotensin 2 (ANG2) and high glucose (GLUC). Right atrial appendages isolated during cardiac surgery were incubated ex vivo with either empagliflozin or dapagliflozin (1, 10 µm, 12 h) in the presence or absence of ANG2 (100 nm) and GLUC (400 mg/dL) and used for the evaluation of MAO-A and MAO-B expression and ROS production. Stimulation with ANG2 and GLUC increased atrial expression of both MAOs and oxidative stress; the effects were significantly decreased by the SGLT2i. Atrial oxidative stress positively correlated with the echocardiographic size of heart chambers and negatively with the left ventricular ejection fraction. In overweight patients, MAO contributes to cardiac oxidative stress in basal conditions and those that mimicked the renin-angiotensin system activation and hyperglycemia and can be targeted with empagliflozin and dapagliflozin, as novel off-target class effect of the SGLT2i.</x:t>
  </x:si>
  <x:si>
    <x:t xml:space="preserve">Ionică LN; Buriman DG; Lința AV; Șoșdean R; Lascu A; Streian CG; Feier HB; Petrescu L; Mozoș IM; Sturza A; Muntean DM</x:t>
  </x:si>
  <x:si>
    <x:t xml:space="preserve">Molecular and cellular biochemistry</x:t>
  </x:si>
  <x:si>
    <x:t xml:space="preserve">10.1007/s11010-024-05076-z</x:t>
  </x:si>
  <x:si>
    <x:t xml:space="preserve">39042348</x:t>
  </x:si>
  <x:si>
    <x:t xml:space="preserve">https://pubmed.ncbi.nlm.nih.gov/39042348/</x:t>
  </x:si>
  <x:si>
    <x:t xml:space="preserve">SCR_000136</x:t>
  </x:si>
  <x:si>
    <x:t xml:space="preserve">Dapagliflozin Use in Children with Advanced Heart Failure Undergoing Heart Transplantation: A Matched Case-Control Study.</x:t>
  </x:si>
  <x:si>
    <x:t xml:space="preserve">Dapagliflozin has been associated with euglycemic ketoacidosis in adults with diabetes contributing to poor outcomes when continued prior to surgery. It is unknown if preoperative use of dapagliflozin may lead to adverse events (AE) in nondiabetic children with advanced heart failure (HF) undergoing heart transplantation (HTx). We performed a single-center, matched case-control analysis of nondiabetic primary pediatric HTx recipients &lt; 21 years-old who underwent HTx and followed through postoperative day (POD) 3. Cases who received dapagliflozin leading up to HTx (n = 22) were matched by age and cardiac diagnosis to two historical controls who did not receive dapagliflozin (n = 44). Median age at HTx was 13.8 years (range 0.36-20.7) and 48% were female. Cardiac diagnoses included cardiomyopathy (45%), Fontan failure (41%), and single ventricle status post stage I palliation (14%). Cases received median dapagliflozin dose of 0.17 mg/kg once daily; therapy was stopped one day prior to HTx. There were no significant differences in blood glucose nadirs, arterial blood gas indices including nadirs of pH, bicarbonate, or peaks of arterial blood lactic acid POD0-3. Vasopressor, inotrope, and insulin infusion usage were not different. No patients were treated for severe hypoglycemia, euglycemic ketoacidosis, or urinary tract infections. There were no deaths. Length of stay in ICU and time from HTx to hospital discharge did not differ between cohorts. Use of dapagliflozin in children with advanced HF until HTx is not associated with AE in the immediate postoperative period nor increased length of hospitalization post-HTx. Potential cardiovascular benefits of dapagliflozin in patients awaiting HTx should be prioritized.</x:t>
  </x:si>
  <x:si>
    <x:t xml:space="preserve">Newland DM; Law YM; Albers EL; Ali R; Friedland-Little JM; Hartje-Dunn C; Kemna MS; Knorr LR; Nemeth TL; Spencer KL; Hong BJ</x:t>
  </x:si>
  <x:si>
    <x:t xml:space="preserve">Pediatric cardiology</x:t>
  </x:si>
  <x:si>
    <x:t xml:space="preserve">10.1007/s00246-024-03604-8</x:t>
  </x:si>
  <x:si>
    <x:t xml:space="preserve">39039302</x:t>
  </x:si>
  <x:si>
    <x:t xml:space="preserve">https://pubmed.ncbi.nlm.nih.gov/39039302/</x:t>
  </x:si>
  <x:si>
    <x:t xml:space="preserve">SCR_000137</x:t>
  </x:si>
  <x:si>
    <x:t xml:space="preserve">Cholesin receptor signalling is active in cardiovascular system-associated adipose tissue and correlates with SGLT2i treatment in patients with diabetes.</x:t>
  </x:si>
  <x:si>
    <x:t xml:space="preserve">BACKGROUND: Recently deorphanized G protein-coupled receptor 146 (GPR146) was shown to respond to signal from a newly identified hormone-cholesin-and to play a role in hepatic lipid metabolism. However, the importance of its biological activity in human organism remains elusive, mainly due to the lack of studies on human tissues up to this point. This study aimed to identify the cholesin receptor-associated genes and clinical factors linked with their expression in cardiovascular system and associated adipose tissues. METHODS: Right cardiac auricle, aortic wall, saphenous vein, and adipose tissue (periaortic-PAT, epicardial-EAT, thymic-TAT) samples were collected during coronary artery bypass grafting. Clinical records of the study participants were assessed for the presence of diabetes, medications taken and serum cholesterol levels. GPR146 mRNA expression in all gathered tissues was assessed with qPCR, and RNA seqencing was performed in selected tissues of 20 individuals to identify pathways associated with GPR146 expression. RESULTS: We included 46 participants [37 male, 23 with type 2 diabetes, median age 68.50 (Q1-Q3: 63.00-72.00) years, BMI 28.39 (26.06-31.49) kg/m2]. GPR146 expression in adipose tissues significantly correlated with BMI, c-peptide, total cholesterol, and LDL concentrations. Selected metabolic pathways were significantly and positively enriched in GPR146-dependent manner. GPR146-coexpressed genes contained key regulators of lipid metabolism involved in such pathways as fatty acid metabolism, tricarboxilic acid cycle and peroxisomal metabolism. Those genes correlated positively with serum concentrations of LDL, HDL, and total cholesterol. SGLT2i treatment was associated with inversion of GPR146-related signature in EAT, suggesting potential impact on cholesin-GPR146 network. CONCLUSIONS: GPR146 expression is associated with serum lipids and metabolically-relevant transcriptomic changes in EAT similar to SGLT2i-associated ones.</x:t>
  </x:si>
  <x:si>
    <x:t xml:space="preserve">Ryk A; Marcinkiewicz A; Chrzanowski J; Michalak AM; Dróżdz I; Burzyński J; Krejca M; Fendler W</x:t>
  </x:si>
  <x:si>
    <x:t xml:space="preserve">10.1186/s12933-024-02322-y</x:t>
  </x:si>
  <x:si>
    <x:t xml:space="preserve">38902687</x:t>
  </x:si>
  <x:si>
    <x:t xml:space="preserve">https://pubmed.ncbi.nlm.nih.gov/38902687/</x:t>
  </x:si>
  <x:si>
    <x:t xml:space="preserve">SCR_000138</x:t>
  </x:si>
  <x:si>
    <x:t xml:space="preserve">Sodium-Glucose Cotransporter-2 Inhibitors and Cardiovascular Protection Among Patients With Type 2 Diabetes Mellitus: A Systematic Review.</x:t>
  </x:si>
  <x:si>
    <x:t xml:space="preserve">Background: Accumulating evidence has demonstrated the positive effects of sodium-glucose cotransporter-2 (SGLT2) inhibitors in managing patients with type 2 diabetes mellitus (T2DM). SGLT2 inhibitors protect patients with T2DM from cardiovascular complications and are generally safe. Aim: The aim of this study is to assess the cardiovascular effects of SGLT2 inhibitors in patients with T2DM. Methods: A systematic review was conducted using published English literature in PubMed and Google Scholar databases. Results: Most of the studies showed significant positive cardiovascular effects of SGLT2 inhibitors in patients with and without established cardiovascular disease (CVD). Empagliflozin reduced the risk of cardiovascular death, hospitalization for heart failure (HHF), cardiovascular death or heart failure, and major adverse cardiovascular events (MACE) such as nonfatal stroke, nonfatal myocardial infarction, and cardiovascular death regardless of the number of cardiovascular risk factors. The effects of empagliflozin on cardiovascular events and mortality in patients with coronary artery bypass graft (CABG) were assessed. Further, the efficacy of empagliflozin in three different phenotypic groups, namely, younger patients with shorter duration of T2DM and highest glomerular filtration rate, women without coronary artery disease, and older adults with advanced coronary artery disease plus several comorbidities, was also assessed. The effects of canagliflozin were evaluated in patients with and without a history of CVD and with different body weights, and in those with and without prior heart failure. Treatment with canagliflozin based on multivariable-predicted cardiovascular risk factors prevented heart failure events more than treatment based on glycated hemoglobin and albuminuria alone. The efficacy of dapagliflozin was evaluated in patients with or at risk of atherosclerotic cardiovascular disease (ASCVD), heart failure status, and left ventricular ejection fraction (LVEF), as well as the elderly population. A reduction in HHF or cardiovascular death and insignificant reduction in MACE were noted. Furthermore, significant reduction in the risk of cardiovascular death and all-cause mortality in patients with heart failure with reduced ejection fraction (HFrEF) was also observed. Sotagliflozin was studied for its cardiovascular outcomes in patients with chronic kidney disease with or without albuminuria and resulted in a reduction in cardiovascular-related deaths and HHF. Conclusion: SGLT2 inhibitors have beneficial cardiovascular effects in patients with T2DM and should be incorporated into their management.</x:t>
  </x:si>
  <x:si>
    <x:t xml:space="preserve">Yankah RK; Anku EK; Eligar V</x:t>
  </x:si>
  <x:si>
    <x:t xml:space="preserve">Journal of diabetes research</x:t>
  </x:si>
  <x:si>
    <x:t xml:space="preserve">10.1155/2024/9985836</x:t>
  </x:si>
  <x:si>
    <x:t xml:space="preserve">38766320</x:t>
  </x:si>
  <x:si>
    <x:t xml:space="preserve">Systematic Review; Journal Article</x:t>
  </x:si>
  <x:si>
    <x:t xml:space="preserve">https://pubmed.ncbi.nlm.nih.gov/38766320/</x:t>
  </x:si>
  <x:si>
    <x:t xml:space="preserve">SCR_000139</x:t>
  </x:si>
  <x:si>
    <x:t xml:space="preserve">Empagliflozin inhibits increased Na influx in atrial cardiomyocytes of patients with HFpEF.</x:t>
  </x:si>
  <x:si>
    <x:t xml:space="preserve">AIMS: Heart failure with preserved ejection fraction (HFpEF) causes substantial morbidity and mortality. Importantly, atrial remodelling and atrial fibrillation are frequently observed in HFpEF. Sodium-glucose cotransporter 2 inhibitors (SGLT2i) have recently been shown to improve clinical outcomes in HFpEF, and post-hoc analyses suggest atrial anti-arrhythmic effects. We tested if isolated human atrial cardiomyocytes from patients with HFpEF exhibit an increased Na influx, which is known to cause atrial arrhythmias, and if that is responsive to treatment with the SGTL2i empagliflozin. METHODS AND RESULTS: Cardiomyocytes were isolated from atrial biopsies of 124 patients (82 with HFpEF) undergoing elective cardiac surgery. Na influx was measured with the Na-dye Asante Natrium Green-2 AM (ANG-2). Compared to patients without heart failure (NF), Na influx was doubled in HFpEF patients (NF vs. HFpEF: 0.21 ± 0.02 vs. 0.38 ± 0.04 mmol/L/min (N = 7 vs. 18); P = 0.0078). Moreover, late INa (measured via whole-cell patch clamp) was significantly increased in HFpEF compared to NF. Western blot and HDAC4 pulldown assay indicated a significant increase in CaMKII expression, CaMKII autophosphorylation, CaMKII activity, and CaMKII-dependent NaV1.5 phosphorylation in HFpEF compared to NF, whereas NaV1.5 protein and mRNA abundance remained unchanged. Consistently, increased Na influx was significantly reduced by treatment not only with the CaMKII inhibitor autocamtide-2-related inhibitory peptide (AIP), late INa inhibitor tetrodotoxin (TTX) but also with sodium/hydrogen exchanger 1 (NHE1) inhibitor cariporide. Importantly, empagliflozin abolished both increased Na influx and late INa in HFpEF. Multivariate linear regression analysis, adjusting for important clinical confounders, revealed HFpEF to be an independent predictor for changes in Na handling in atrial cardiomyocytes. CONCLUSION: We show for the first time increased Na influx in human atrial cardiomyocytes from HFpEF patients, partly due to increased late INa and enhanced NHE1-mediated Na influx. Empagliflozin inhibits Na influx and late INa, which could contribute to anti-arrhythmic effects in patients with HFpEF.</x:t>
  </x:si>
  <x:si>
    <x:t xml:space="preserve">Trum M; Riechel J; Schollmeier E; Lebek S; Hegner P; Reuthner K; Heers S; Keller K; Wester M; Klatt S; Hamdani N; Provaznik Z; Schmid C; Maier L; Arzt M; Wagner S</x:t>
  </x:si>
  <x:si>
    <x:t xml:space="preserve">Cardiovascular research</x:t>
  </x:si>
  <x:si>
    <x:t xml:space="preserve">10.1093/cvr/cvae095</x:t>
  </x:si>
  <x:si>
    <x:t xml:space="preserve">38728438</x:t>
  </x:si>
  <x:si>
    <x:t xml:space="preserve">https://pubmed.ncbi.nlm.nih.gov/38728438/</x:t>
  </x:si>
  <x:si>
    <x:t xml:space="preserve">SCR_000140</x:t>
  </x:si>
  <x:si>
    <x:t xml:space="preserve">Acute Dapagliflozin Administration Ameliorates Cardiac Surgery-Associated Acute Kidney Injury in a Rabbit Model.</x:t>
  </x:si>
  <x:si>
    <x:t xml:space="preserve">BACKGROUND: Several studies have shown that sodium-glucose cotransporter-2 inhibitors have a renoprotective effect on acute kidney injury (AKI), but their effect on cardiac surgery-associated AKI is unknown. METHODS AND RESULTS: AKI was induced in 25 rabbits without diabetes mellitus by cardiopulmonary bypass (CPB) for 2 h and they were divided into 5 groups: sham; dapagliflozin-treated sham; CPB; dapagliflozin-treated CPB; and furosemide-treated CPB (n=5 in each group). Dapagliflozin was administered via the femoral vein before initiating CPB. Kidney tissue and urine and blood samples were collected after the surgical procedure. There were no differences in the hemodynamic variables of each group. Dapagliflozin reduced serum creatinine and blood urea nitrogen concentrations, and increased overall urine output (all P&lt;0.05). Hematoxylin and eosin staining showed that the tubular injury score was improved after dapagliflozin administration (P&lt;0.01). Dapagliflozin administration mitigated reactive oxygen species and kidney injury molecule-1 as assessed by immunohistochemistry (both P&lt;0.0001). Protein expression analysis showed improvement of inflammatory cytokines and apoptosis, and antioxidant enzyme expression was elevated (all P&lt;0.05) through activation of the nuclear factor erythroid 2-related factor 2 pathway (P&lt;0.01) by dapagliflozin. CONCLUSIONS: Acute intravenous administration of dapagliflozin protects against CPB-induced AKI. Dapagliflozin may have direct renoprotective effects in renal tubular cells.</x:t>
  </x:si>
  <x:si>
    <x:t xml:space="preserve">Matsuda K; Mitsuo H; Nishijima T; Uchiyama H; Nita T; Matsunaga S; Fujimoto N; Ushijima T; Ando Y; Kan-O M; Shinohara G; Kimura S; Sonoda H; Shiose A</x:t>
  </x:si>
  <x:si>
    <x:t xml:space="preserve">Circulation journal : official journal of the Japanese Circulation Society</x:t>
  </x:si>
  <x:si>
    <x:t xml:space="preserve">10.1253/circj.cj-23-0864</x:t>
  </x:si>
  <x:si>
    <x:t xml:space="preserve">38658352</x:t>
  </x:si>
  <x:si>
    <x:t xml:space="preserve">https://pubmed.ncbi.nlm.nih.gov/38658352/</x:t>
  </x:si>
  <x:si>
    <x:t xml:space="preserve">SCR_000141</x:t>
  </x:si>
  <x:si>
    <x:t xml:space="preserve">[Life-threatening euglycemic ketoacidosis under treatment with empagliflozin in cardiac surgery patients: rare isolated case or a frequent problem in the future?].</x:t>
  </x:si>
  <x:si>
    <x:t xml:space="preserve">Wachter H; von Loeffelholz C; Thomas-Rüddel DO; Bargenda S; Birkenfeld AL; Bauer M; Ehler J</x:t>
  </x:si>
  <x:si>
    <x:t xml:space="preserve">Die Anaesthesiologie</x:t>
  </x:si>
  <x:si>
    <x:t xml:space="preserve">10.1007/s00101-024-01406-4</x:t>
  </x:si>
  <x:si>
    <x:t xml:space="preserve">38635034</x:t>
  </x:si>
  <x:si>
    <x:t xml:space="preserve">Case Reports; Letter</x:t>
  </x:si>
  <x:si>
    <x:t xml:space="preserve">https://pubmed.ncbi.nlm.nih.gov/38635034/</x:t>
  </x:si>
  <x:si>
    <x:t xml:space="preserve">SCR_000142</x:t>
  </x:si>
  <x:si>
    <x:t xml:space="preserve">Missed postoperative metabolic acidosis associated with sodium-glucose transporter 2 inhibitors in cardiac surgery patients: a retrospective analysis.</x:t>
  </x:si>
  <x:si>
    <x:t xml:space="preserve">The increasing use of sodium glucose transporter 2 inhibitors (SGLT2i) for treating cardiovascular (CV) diseases and type 2 diabetes (T2D) is accompanied by a rise in euglycemic diabetic ketoacidosis occurrences in cardiac surgery patients. Patients undergoing cardiac surgery, due to their pre-existing CV disease which often requires SGLT2i prescriptions, face an increased risk of postoperative metabolic acidosis (MA) or ketoacidosis (KA) associated with SGLT2i, compounded by fasting and surgical stress. The primary aim of this study is to quantify the incidence of SGLT2i-related postoperative MA or KA and to identify related risk factors. We analyzed data retrospectively of 823 cardiac surgery patients, including 46 treated with SGLT2i from November 2019 to October 2022. Among 46 final cohorts treated preoperatively with SGLT2i, 29 (63%) developed postoperative metabolic complications. Of these 46 patients, stratified into two categories based on postoperative laboratory findings, risk factor analysis were conducted and compared. Analysis indicated a prescription duration over one week significantly elevated the risk of complications (Unadjusted OR, 11.7; p = 0.032*; Adjusted OR, 31.58; p = 0.014*). A subgroup analysis showed that a cardiopulmonary bypass duration of 60 min or less significantly raises the risk of SGLT2i-related postoperative MA in patients with a sufficient prescription duration. We omitted the term "diabetes" in describing complications related to SGLT2i, as these issues are not exclusive to T2D patients. Awareness of SGLT2i-related postoperative MA or KA can help clinicians distinguish between non-life-threatening conditions and severe causes, thereby preventing unnecessary tests and ensuring best practice.</x:t>
  </x:si>
  <x:si>
    <x:t xml:space="preserve">Kim HA; Kim JY; Kim YH; Lee YT; Park PW</x:t>
  </x:si>
  <x:si>
    <x:t xml:space="preserve">Scientific reports</x:t>
  </x:si>
  <x:si>
    <x:t xml:space="preserve">10.1038/s41598-024-58853-7</x:t>
  </x:si>
  <x:si>
    <x:t xml:space="preserve">38582803</x:t>
  </x:si>
  <x:si>
    <x:t xml:space="preserve">https://pubmed.ncbi.nlm.nih.gov/38582803/</x:t>
  </x:si>
  <x:si>
    <x:t xml:space="preserve">SCR_000143</x:t>
  </x:si>
  <x:si>
    <x:t xml:space="preserve">Post-Coronary Artery Bypass Grafting Outcomes of Patients with/without Type-2 Diabetes Mellitus and Chronic Kidney Disease Treated with SGLT2 Inhibitor Dapagliflozin: A Single-Center Experience Analysis.</x:t>
  </x:si>
  <x:si>
    <x:t xml:space="preserve">INTRODUCTION: Increasingly, SGLT2 inhibitors save patients with heart failure and comorbidities such as type-2 diabetes mellitus (T2DM) and chronic kidney disease (CKD); the inhibition of sodium-glucose cotransporter 2 (SGLT2) was first studied in patients with diabetes as a solution to lower glucose levels by preventing glucose reabsorption and facilitating its elimination; in the process, researchers took notice of how SGLT2 inhibitors also seemed to have beneficial cardiovascular effects in patients with both diabetes and cardiovascular disease. AIM: Our single-center prospective study assesses outcomes of post-coronary artery bypass grafting (CABG) rehabilitation and SLGT2 inhibition in CABG patients with/without T2DM and with/without CKD. MATERIALS AND METHODS: One hundred twenty consecutive patients undergoing CABG were included in the analysis. Patients were divided into four subgroups: diabetes patients with chronic kidney disease (T2DM + CKD), diabetes patients without chronic kidney disease (T2DM-CKD), prediabetes patients with chronic kidney disease (PreD+CKD), and prediabetes patients without chronic kidney disease (PreD-CKD). Echocardiographic and laboratory investigations post-surgery (phase I) and 6 months later (phase II) included markers for cardiac ischemia, glycemic status, and renal function, and metabolic equivalents were investigated. RESULTS: One hundred twenty patients participated, mostly men, overweight/obese, hypertensive, smokers; 65 had T2DM (18 with CKD), and 55 were prediabetic (17 with CKD). The mean ejection fraction increased by 8.43% overall but significantly more in the prediabetes group compared to the T2DM group (10.14% vs. 6.98%, p &lt; 0.05). Overall, mean heart-type fatty-acid-binding protein (H-FABP) levels returned to normal levels, dropping from 68.40 ng/mL to 4.82 ng/mL (p = 0.000), and troponin data were more nuanced relative to an overall, strongly significant decrease of 44,458 ng/L (p = 0.000). Troponin levels in patients with CKD dropped more, both in the presence of T2DM (by 82,500 ng/L, p = 0.000) and in patients without T2DM (by 73,294 ng/L, p = 0.047). As expected, the overall glycated hemoglobin (HbA1c) levels improved significantly in those with prediabetes (from 6.54% to 5.55%, p = 0.000); on the other hand, the mean HbA1c changed from 7.06% to 6.06% (p = 0.000) in T2DM, and the presence or absence of CKD did not seem to make any difference: T2DM+CKD 7.01-6.08% (p = 0.000), T2DM-CKD 7.08-6.04% (p = 0.000), PreD+CKD 5.66-4.98% (p = 0.014), and PreD-CKD 6.03-4.94% (p = 0.00). Compared to an overall gain of 11.51, the GFRs of patients with CKD improved by 18.93 (68.15-87.07%, p = 0.000) in the presence of established diabetes and 14.89 (64.75-79.64%, p = 0.000) in the prediabetes group. CONCLUSIONS: Regarding the patients' cardiac statuses, the results from our single-center analysis revealed a significant decrease in ischemic risk (H-FABP and hs-cTnI levels) with improvements in mean ejection fraction, glycemic status, and renal function in patients post-CABG with/without T2DM, with/without CKD, and with SGLT2 inhibitor dapagliflozin treatment while undergoing cardiac rehabilitation.</x:t>
  </x:si>
  <x:si>
    <x:t xml:space="preserve">Al Namat R; Duceac LD; Chelaru L; Dabija MG; Guțu C; Marcu C; Popa MV; Popa F; Bogdan Goroftei ER; Țarcă E</x:t>
  </x:si>
  <x:si>
    <x:t xml:space="preserve">Diagnostics (Basel, Switzerland)</x:t>
  </x:si>
  <x:si>
    <x:t xml:space="preserve">10.3390/diagnostics14010016</x:t>
  </x:si>
  <x:si>
    <x:t xml:space="preserve">38201325</x:t>
  </x:si>
  <x:si>
    <x:t xml:space="preserve">https://pubmed.ncbi.nlm.nih.gov/38201325/</x:t>
  </x:si>
  <x:si>
    <x:t xml:space="preserve">SCR_000144</x:t>
  </x:si>
  <x:si>
    <x:t xml:space="preserve">The Use of Sodium-Glucose Cotransporter-2 Inhibitors in Coronary Revascularization: Where Are We Now? A Systematic Review.</x:t>
  </x:si>
  <x:si>
    <x:t xml:space="preserve">INTRODUCTION: Diabetes and coronary artery disease are two common conditions that often co-exist. In recent years, sodium-glucose cotransporter 2 inhibitors (SGLT2i) have been demonstrated to provide significant cardioprotective benefits, especially among patients with heart failure. OBJECTIVE: In this systematic review, we look to identify the outcomes SGLT2i use in patients undergoing coronary revascularization. METHODS: Pubmed and Embase were systematically searched for articles describing the outcomes of patients taking SGLT2i and undergoing coronary revascularization. 834 titles and abstracts were screened, 42 full texts were reviewed, and 18 studies were found to meet the inclusion criteria and were included in this review. RESULTS: For patients undergoing coronary artery bypass grafting and percutaneous coronary intervention, the use of SGLT2i resulted in reductions in mortality, hospitalization for heart failure, and improved blood glucose; however, these benefits were not consistently reported in the literature. Reduced inflammatory markers and positive cardiac remodeling were identified among patients taking SGLT2i. CONCLUSIONS: Sodium-glucose cotransporter 2 inhibitors (SGLT2i) have been demonstrated to provide benefits for patients with heart failure along with a host of positive modulatory effects on the cardiovascular system, including reductions in inflammatory properties, hypertension, and left ventricular volume load. Given the clear benefit provided by SGLT2i to patients with cardiovascular disease and a host of positive properties that are expected to be protective for patients with ischemic heart disease, future investigation into the relationship between SGLT2i and outcomes for patients undergoing revascularization is imperative.</x:t>
  </x:si>
  <x:si>
    <x:t xml:space="preserve">El-Andari R; Fialka NM; Kang J; Bozso SJ; Nagendran J</x:t>
  </x:si>
  <x:si>
    <x:t xml:space="preserve">10.1007/s40256-023-00618-0</x:t>
  </x:si>
  <x:si>
    <x:t xml:space="preserve">37975979</x:t>
  </x:si>
  <x:si>
    <x:t xml:space="preserve">https://pubmed.ncbi.nlm.nih.gov/37975979/</x:t>
  </x:si>
  <x:si>
    <x:t xml:space="preserve">SCR_000145</x:t>
  </x:si>
  <x:si>
    <x:t xml:space="preserve">Optimal Screening for Predicting and Preventing the Risk of Heart Failure Among Adults With Diabetes Without Atherosclerotic Cardiovascular Disease: A Pooled Cohort Analysis.</x:t>
  </x:si>
  <x:si>
    <x:t xml:space="preserve">BACKGROUND: The optimal approach to identify individuals with diabetes who are at a high risk for developing heart failure (HF) to inform implementation of preventive therapies is unknown, especially in those without atherosclerotic cardiovascular disease (ASCVD). METHODS: Adults with diabetes and no HF at baseline from 7 community-based cohorts were included. Participants without ASCVD who were at high risk for developing HF were identified using 1-step screening strategies: risk score (WATCH-DM [Weight, Age, Hypertension, Creatinine, HDL-C, Diabetes Control, QRS Duration, MI, and CABG] ≥12), NT-proBNP (N-terminal pro-B-type natriuretic peptide ≥125 pg/mL), hs-cTn (high-sensitivity cardiac troponin T ≥14 ng/L; hs-cTnI ≥31 ng/L), and echocardiography-based diabetic cardiomyopathy (echo-DbCM; left atrial enlargement, left ventricular hypertrophy, or diastolic dysfunction). High-risk participants were also identified using 2-step screening strategies with a second test to identify residual risk among those deemed low risk by the first test: WATCH-DM/NT-proBNP, NT-proBNP/hs-cTn, NT-proBNP/echo-DbCM. Across screening strategies, the proportion of HF events identified, 5-year number needed to treat and number needed to screen to prevent 1 HF event with an SGLT2i (sodium-glucose cotransporter 2 inhibitor) among high-risk participants, and cost of screening were estimated. RESULTS: The initial study cohort included 6293 participants (48.2% women), of whom 77.7% without prevalent ASCVD were evaluated with different HF screening strategies. At 5-year follow-up, 6.2% of participants without ASCVD developed incident HF. The 5-year number needed to treat to prevent 1 HF event with an SGLT2i among participants without ASCVD was 43 (95% CI, 29-72). In the cohort without ASCVD, high-risk participants identified using 1-step screening strategies had a low 5-year number needed to treat (22 for NT-proBNP to 37 for echo-DbCM). However, a substantial proportion of HF events occurred among participants identified as low risk using 1-step screening approaches (29% for echo-DbCM to 47% for hs-cTn). Two-step screening strategies captured most HF events (75-89%) in the high-risk subgroup with a comparable 5-year number needed to treat as the 1-step screening approaches (30-32). The 5-year number needed to screen to prevent 1 HF event was similar across 2-step screening strategies (45-61). However, the number of tests and associated costs were lowest for WATCH-DM/NT-proBNP ($1061) compared with other 2-step screening strategies (NT-proBNP/hs-cTn: $2894; NT-proBNP/echo-DbCM: $16 358). CONCLUSIONS: Selective NT-proBNP testing based on the WATCH-DM score efficiently identified a high-risk primary prevention population with diabetes expected to derive marked absolute benefits from SGLT2i to prevent HF.</x:t>
  </x:si>
  <x:si>
    <x:t xml:space="preserve">Patel KV; Segar MW; Klonoff DC; Khan MS; Usman MS; Lam CSP; Verma S; DeFilippis AP; Nasir K; Bakker SJL; Westenbrink BD; Dullaart RPF; Butler J; Vaduganathan M; Pandey A</x:t>
  </x:si>
  <x:si>
    <x:t xml:space="preserve">10.1161/circulationaha.123.067530</x:t>
  </x:si>
  <x:si>
    <x:t xml:space="preserve">37950893</x:t>
  </x:si>
  <x:si>
    <x:t xml:space="preserve">Journal Article; Research Support, N.I.H., Extramural</x:t>
  </x:si>
  <x:si>
    <x:t xml:space="preserve">https://pubmed.ncbi.nlm.nih.gov/37950893/</x:t>
  </x:si>
  <x:si>
    <x:t xml:space="preserve">SCR_000146</x:t>
  </x:si>
  <x:si>
    <x:t xml:space="preserve">Experience with SGLT2 Inhibitors in Patients with Single Ventricle Congenital Heart Disease and Fontan Circulatory Failure.</x:t>
  </x:si>
  <x:si>
    <x:t xml:space="preserve">Heart failure is the leading cause of morbidity and mortality in patients with Fontan circulation. Sodium-glucose-cotransporter 2 inhibitors (SGLT2i) have become a mainstay of heart failure therapy in adult patients, however, there remains a paucity of literature to describe its use in pediatric heart failure patients, especially those with single ventricle physiology. We describe our early experience using SGLT2i in patients with single ventricle congenital heart disease surgically palliated to the Fontan circulation. We conducted a single-center retrospective chart review of all patients with Fontan circulation who were initiated on an SGLT2i from January 1, 2022 to March 1, 2023. Patient demographics, diagnoses, clinical status, and other therapies were collected from the electronic medical record. During the study period, 14 patients (median age 14.5 years, range 2.0-26.4 years) with Fontan circulation were started on a SGLT2i. Mean weight was 54 kg (range 11.6-80.4 kg). Median follow-up since SGLT2i initiation was 4.1 months (range 13 days-7.7 months). Four patients had a systemic left ventricle and 10 had a systemic right ventricle. Half the patients had Fontan Circulatory Failure with reduced Ejection Fraction (FCFrEF) of the systemic ventricle and the other half had Fontan Circulatory Failure with preserved Ejection Fraction (FCFpEF) of the systemic ventricle. In addition, 3 patients experienced Protein Losing Enteropathy (PLE) and 2 patients had plastic bronchitis, one of whom also was diagnosed with chylothorax. There were no genitourinary infections, hypoglycemia, ketoacidosis, hypotension or other significant adverse effects noted in our patient population. One patient experienced significant diuresis and transient acute kidney injury. Patients with FCFrEF showed a decrease in natriuretic peptide levels. Given the lack of proven therapies, demonstrated benefits of SGLT2i in other populations, and some suggestion of efficacy in Fontan circulation, further study of SGTLT2i in patients with Fontan circulation is warranted.</x:t>
  </x:si>
  <x:si>
    <x:t xml:space="preserve">Konduri A; West C; Lowery R; Hunter T; Jarosz A; Yu S; Lim HM; McCormick AD; Schumacher KR; Peng DM</x:t>
  </x:si>
  <x:si>
    <x:t xml:space="preserve">10.1007/s00246-023-03332-5</x:t>
  </x:si>
  <x:si>
    <x:t xml:space="preserve">37919530</x:t>
  </x:si>
  <x:si>
    <x:t xml:space="preserve">https://pubmed.ncbi.nlm.nih.gov/37919530/</x:t>
  </x:si>
  <x:si>
    <x:t xml:space="preserve">SCR_000147</x:t>
  </x:si>
  <x:si>
    <x:t xml:space="preserve">Dose-dependent relationship between SGLT2 inhibitor hold time and risk for postoperative anion gap acidosis: a single-centre retrospective analysis.</x:t>
  </x:si>
  <x:si>
    <x:t xml:space="preserve">BACKGROUND: Use of sodium-glucose transporter-2 (SGLT2) inhibitors has dramatically increased over the past decade. This medication class predisposes patients to euglycaemic diabetic ketoacidosis, particularly during times of physiologic stress, including fasting and surgery. Beyond case reports and series, a systematic description of perioperative metabolic effects of SGLT2 inhibitors is lacking. METHODS: We examined the degree of anion gap acidosis, controlling for non-ketone anions, in patients undergoing surgery at Massachusetts General Hospital in 2016-22. We constructed a multivariable regression model incorporating known non-ketone contributors to the postoperative anion gap (albumin, lactate, estimated glomerular filtration rate, and preoperative anion gap), hold time, and interaction terms between hold time and three previously suggested risk factors for euglycaemic diabetic ketoacidosis: emergency surgery, cardiac surgery, and insulin use. RESULTS: In 463 patients on SGLT2 inhibitors, we observed a strong association between decreased hold time and postoperative anion gap (P&lt;0.001 in a univariable analysis; -0.43, 95% confidence interval [-0.76 to -0.11] change in anion gap per day held, P=0.01 in a multivariable analysis). A significant interaction between hold time and emergency surgery was observed, whereas there was no apparent interaction with insulin use or cardiac surgery. CONCLUSIONS: These findings provide the first evidence that an anion gap acidosis, likely from ketoacids, develops in all patients who do not hold SGLT2 inhibitors before surgery rather than in an idiosyncratic few. If an SGLT2 inhibitor is unable to be stopped, postoperative monitoring of anion gap and serum ketones can help detect clinically significant euglycaemic diabetic ketoacidosis, particularly in those undergoing emergency surgery.</x:t>
  </x:si>
  <x:si>
    <x:t xml:space="preserve">Steinhorn B; Wiener-Kronish J</x:t>
  </x:si>
  <x:si>
    <x:t xml:space="preserve">10.1016/j.bja.2023.06.063</x:t>
  </x:si>
  <x:si>
    <x:t xml:space="preserve">37541949</x:t>
  </x:si>
  <x:si>
    <x:t xml:space="preserve">https://pubmed.ncbi.nlm.nih.gov/37541949/</x:t>
  </x:si>
  <x:si>
    <x:t xml:space="preserve">SCR_000148</x:t>
  </x:si>
  <x:si>
    <x:t xml:space="preserve">[News in cardiology].</x:t>
  </x:si>
  <x:si>
    <x:t xml:space="preserve">The article summarizes new advances in cardiology published in 2022, which have an impact to everyday practice of not only internists and cardiologists. The administration of polypill to patients after myocardial infarction (SECURE study), early pharmacotherapy of hypertension in pregnant women with blood pressure exceeding 140/90 mmHg (CHAP study), or the administration of dapagliflozin to patients with heart failure with preserved or mildly reduced ejection fraction (DELIVER study) have been shown to be effective. Patients with heart failure do not have to limit their sodium intake (SODIUM-HF study), on the contrary, they benefit from up-titration of guideline-recommended drugs to the maximum tolerated doses as quickly as possible (STRONG-HF study). For antihypertensives, it does not matter whether they are taken in the morning or in the evening (TIME study), nor has there been found any difference in the incidence of cardiovascular events with hydrochlorothiazide and chlortalidone (DCP study). In patients with increased cardiovascular risk, highly sensitive troponin should be measured before non-cardiac surgery as well as 24 and 48 hours after surgery to detect perioperative myocardial infarction. Different blood pressure and oxygenation targets in patients after resuscitation for out-of-hospital cardiac arrest do not affect the outcomes of their treatment.</x:t>
  </x:si>
  <x:si>
    <x:t xml:space="preserve">Václavík J</x:t>
  </x:si>
  <x:si>
    <x:t xml:space="preserve">Vnitrni lekarstvi</x:t>
  </x:si>
  <x:si>
    <x:t xml:space="preserve">10.36290/vnl.2023.008</x:t>
  </x:si>
  <x:si>
    <x:t xml:space="preserve">36931883</x:t>
  </x:si>
  <x:si>
    <x:t xml:space="preserve">cze</x:t>
  </x:si>
  <x:si>
    <x:t xml:space="preserve">https://pubmed.ncbi.nlm.nih.gov/36931883/</x:t>
  </x:si>
  <x:si>
    <x:t xml:space="preserve">SCR_000149</x:t>
  </x:si>
  <x:si>
    <x:t xml:space="preserve">Trends in Prescriptions of Cardioprotective Diabetic Agents After Coronary Artery Bypass Grafting Among U.S. Veterans.</x:t>
  </x:si>
  <x:si>
    <x:t xml:space="preserve">OBJECTIVE: Patients with type 2 diabetes undergoing coronary artery bypass grafting (CABG) are at risk for cardiovascular events. Sodium-glucose cotransporter 2 receptor inhibitors (SGLT2i) and glucagon-like peptide 1 receptor agonists (GLP-1RA) are effective cardioprotective agents; however, their prescription among CABG patients is uncertain. The aims of this study were 1) to evaluate the overall use of SGLT2i/GLP-1RA after CABG and explore longitudinal trends and 2) to examine patient-related factors associated with the use of SGLT2i or GLP-1RA. RESEARCH DESIGN AND METHODS: We analyzed the nationwide Veterans Affairs (VA) database (2016-2019) to report trends and factors associated with SGLT2i or GLP-1RA prescription after CABG. RESULTS: Among 5,109 patients operated on at 40 different VA medical centers, 525 of 5,109 (10.4%), 352 of 5,109 (6.8%), and 91 of 5,109 (1.8%) were prescribed SGLT2i, GLP-1RA, and both, respectively. A substantial increase in the quarterly SGLT2i prescription rates (1.6% [first quarter of 2016 (2016Q1)], 33% [2019Q4]) was present but was lower for GLP-1RA (0.8% [2016Q1], 11.2% [2019Q4]). SGLT2i use was less likely with preexisting vascular disease (odd ratio [OR] 0.75, 95% CI 0.75, 0.94) or kidney disease (OR 0.72, 95% CI 0.58, 0.88), while GLP-1RA use was associated with obesity (OR 1.91, 95% CI 1.50, 2.46). CONCLUSIONS: The overall utilization of SGLT2i or GLP-1RA drugs in U.S. veterans with type 2 diabetes undergoing CABG is low, with SGLT2i preferred over GLP-1RA.</x:t>
  </x:si>
  <x:si>
    <x:t xml:space="preserve">Deo SV; McAllister DA; Al-Kindi S; Elgudin Y; Chu D; Pell J; Sattar N</x:t>
  </x:si>
  <x:si>
    <x:t xml:space="preserve">10.2337/dc22-0570</x:t>
  </x:si>
  <x:si>
    <x:t xml:space="preserve">36256925</x:t>
  </x:si>
  <x:si>
    <x:t xml:space="preserve">https://pubmed.ncbi.nlm.nih.gov/36256925/</x:t>
  </x:si>
  <x:si>
    <x:t xml:space="preserve">SCR_000150</x:t>
  </x:si>
  <x:si>
    <x:t xml:space="preserve">A retrospective analysis of the incidence, outcome and factors associated with the occurrence of euglycemic ketoacidosis in diabetic patients on sodium glucose co-transporter - 2 inhibitors undergoing cardiac surgery.</x:t>
  </x:si>
  <x:si>
    <x:t xml:space="preserve">INTRODUCTION: SGLT2i is a new class of drugs used for type 2 diabetes. SGLT2i are known to cause EuKA in the perioperative period. Euglycemic ketoacidosis (EuKA) can cause life-threatening metabolic acidosis in the perioperative setting. Though the event rate of SGLT2i associated diabetic ketoacidosis in nonoperative setting is low, incidence among peri-operative patients can be very high and remains unknown. AIM: The aim of this study was to find the incidence, analyze outcome, and establish correlation between risk factors and EuKA in cardiac surgical patients on SGLT2i. MATERIALS AND METHODS: This is a retrospective study analyzing 24 cardiac surgical patients who were on SGLT2i for type 2 diabetes mellitus. Data collection included age, sex, BMI, preoperative HbA1C, albumin, creatinine, type of SGLT2i and timing of stopping before surgery, insulin administration in the immediate pre-operative period; use of CPB, GI infusion and inotropes in the intraoperative period; blood ketone, duration of ventilation, hydration status and length of postoperative stay in postoperative period. Patients were diagnosed to have EuKA if any one of the serially measured postoperative ketone values was more than 0.6 mmol/L (ketone positive). The collected data were used to find an association between the risk factors and the occurrence of EuKA. RESULTS: Of the 24 patients, 17 patients developed EuKA. (70.8.%). 10 of the 17 EuKA in our study required preoperative Insulin for diabetic control whereas none in the ketone negative patients required insulin. This was statistically significant (P = 0.019). Association of other factors to EuKA were not statistically significant. CONCLUSION: Though the event rate of SGLT2i associated Diabetic ketoacidosis in nonoperative setting is low, (17), the occurrence of EUKA in cardiac surgical patients on SGLT2i in our study was 70.8% (17 out of 24 patients). Patients who require insulin in addition to other oral hypoglycemic drugs for immediate preoperative glycemic control are at risk for the development of SGLT2 inhibitor-induced EuKA postoperatively. Missing the diagnosis of EuKA is fatal in these patients. We couldn't make a diagnosis in our first patient whom we lost. Since it was diagnosed in all our study patients by measuring serial ketone values, there was no mortality and insignificant morbidity. Cessation of SGLT2i before surgery, expectant watch for blood ketones, and treatment with GI infusion reduce morbidity and mortality in cardiac surgical patients.</x:t>
  </x:si>
  <x:si>
    <x:t xml:space="preserve">Murugesan KB; Balakrishnan S; Arul A; Ramalingam S; Srinivasan M</x:t>
  </x:si>
  <x:si>
    <x:t xml:space="preserve">Annals of cardiac anaesthesia</x:t>
  </x:si>
  <x:si>
    <x:t xml:space="preserve">10.4103/aca.aca_47_21</x:t>
  </x:si>
  <x:si>
    <x:t xml:space="preserve">36254911</x:t>
  </x:si>
  <x:si>
    <x:t xml:space="preserve">https://pubmed.ncbi.nlm.nih.gov/36254911/</x:t>
  </x:si>
  <x:si>
    <x:t xml:space="preserve">SCR_000151</x:t>
  </x:si>
  <x:si>
    <x:t xml:space="preserve">Sodium-Glucose Cotransporter-2 Inhibitor-associated Euglycemic Diabetic Ketoacidosis: Lessons From a Case Series of 4 Patients Undergoing Coronary Artery Bypass Grafting Surgery.</x:t>
  </x:si>
  <x:si>
    <x:t xml:space="preserve">BACKGROUND: Euglycemic diabetic ketoacidosis (DKA) is a potentially life-threatening adverse condition associated with use of sodium-glucose cotransporter-2 inhibitors (SGLT2i). This risk is further pronounced in the perioperative period. There is no consensus for when SGLT2i should be held preoperatively, and recommendations from various organizations have evolved from 1 day to 3 to 4 days in the latest American Diabetes Association guidelines. Further study of patients with perioperative euglycemic DKA is required to help clarify the optimal timing of preoperative discontinuation of SGLT2i agents. METHODS: In this retrospective, single-centre case series we examined 4 patients who developed postoperative euglycemic DKA after coronary artery bypass grafting, 3 of whom underwent semiurgent surgery. We characterized their clinical course, predisposing factors and treatment characteristics. RESULTS: The SGLT2i were held for 1 to 5 days preoperatively, with times since last dose before surgery being 54, 79, 80 and 151 hours. Surgery was semiurgent for 3 patients, and elective for 1 patient. Three patients were diagnosed with euglycemic DKA within 24 hours after surgery. The fourth patient developed euglycemic DKA on postoperative day 3 in the context of significant hypovolemia and exhibited potential signs of protracted SGLT2i action at 7 days since the last dose. CONCLUSIONS: The duration of SGLT2i action and risk for DKA is variable and complex. Providers should hold SGLT2i at least 3 days before elective major surgery, with potentially longer times in high-risk patients. Careful vigilance should be used for perioperative DKA development in all patients recently exposed to SGLT2i.</x:t>
  </x:si>
  <x:si>
    <x:t xml:space="preserve">Chaudhry A; Roels C; Lee J</x:t>
  </x:si>
  <x:si>
    <x:t xml:space="preserve">Canadian journal of diabetes</x:t>
  </x:si>
  <x:si>
    <x:t xml:space="preserve">10.1016/j.jcjd.2022.06.007</x:t>
  </x:si>
  <x:si>
    <x:t xml:space="preserve">36068154</x:t>
  </x:si>
  <x:si>
    <x:t xml:space="preserve">https://pubmed.ncbi.nlm.nih.gov/36068154/</x:t>
  </x:si>
  <x:si>
    <x:t xml:space="preserve">SCR_000152</x:t>
  </x:si>
  <x:si>
    <x:t xml:space="preserve">Euglycemic Diabetic Ketoacidosis Associated With Sodium-Glucose Cotransporter-2 Inhibitors After Cardiac Surgery: A Review of Current Literature.</x:t>
  </x:si>
  <x:si>
    <x:t xml:space="preserve">There is growing evidence to support the use of sodium-glucose cotransporter-2 (SGLT2) inhibitors for type 2 diabetes mellitus (T2DM) and the management of heart failure. As such, more patients undergoing cardiac surgery are on SGLT2-inhibitor therapy. Despite the numerous benefits of SGLT2 inhibitors on cardiac health, they can be associated with an increased risk of diabetic ketoacidosis, often with normal glucose levels (euglycemic diabetic ketoacidosis or EDKA), which potentially can be detrimental in this vulnerable patient population. In this narrative review, the authors discuss 17 papers that described EDKA in perioperative cardiac surgical patients. The authors discuss suggested preventative measures and management options, with a particular emphasis on raising the clinical awareness of the care teams toward this complication. SGLT2 inhibitor-induced EDKA is a medical emergency that can be difficult to identify in the postcardiac surgical patient due to the overlap of signs and symptoms with other frequent scenarios in these patients. A reduction in SGLT2 inhibitor-associated EDKA can be mitigated by the appropriate perioperative discontinuation of the medication, clinical awareness, and early investigation to diagnose the condition, with emphasis on serum β-hydroxybutyrate. Future quality improvement initiatives are needed to assist in reducing EDKA in patients taking SGLT2 inhibitors in the perioperative surgical setting.</x:t>
  </x:si>
  <x:si>
    <x:t xml:space="preserve">Branco A; Fatima R; Liblik K; Jackson R; Payne D; El-Diasty M</x:t>
  </x:si>
  <x:si>
    <x:t xml:space="preserve">10.1053/j.jvca.2022.06.008</x:t>
  </x:si>
  <x:si>
    <x:t xml:space="preserve">35863986</x:t>
  </x:si>
  <x:si>
    <x:t xml:space="preserve">https://pubmed.ncbi.nlm.nih.gov/35863986/</x:t>
  </x:si>
  <x:si>
    <x:t xml:space="preserve">SCR_000153</x:t>
  </x:si>
  <x:si>
    <x:t xml:space="preserve">Synergism between obesity and HFpEF on neutrophils phenotype and its regulation by adipose tissue-molecules and SGLT2i dapagliflozin.</x:t>
  </x:si>
  <x:si>
    <x:t xml:space="preserve">The adiposity invokes innate immune activity, coronary microvascular dysfunction and consequently heart failure preserved ejection fraction (HFpEF). Our aim was to study the neutrophils profile on obesity and cardiovascular disease and its regulation by adipose tissue-secretome and dapagliflozin. We have isolated neutrophils from patients undergoing open heart surgery (19 women and 51 men). Its migration activity was performed with culture-transwell, transcriptional studies of proteolytic enzymes, adhesion molecules or receptors were analysed by real-time PCR and proteomics (from 20 patients) analysis by TripleTOF mass spectrometer. Differentiated HL-60 (dHL-60) was used as a preclinical model on microfluidic for endothelial cells attaching assays and genes regulation with epicardial and subcutaneous fat secretomes from patients (3 women and 9 men) or dapagliflozin 1-10 μM treatments. The transcriptional and proteomics studies have determined higher levels of adhesion molecules in neutrophils from patients with obesity. The adhesion molecule CD11b levels were higher in those patients with the combined obesity and HFpEF factors (1.70 ± 0.06 a.u. without obesity, 1.72 ± 0.04 a.u. obesity or HFpEF without obesity and 1.79 ± 0.08 a.u. obesity and HFpEF; p &lt; .01). While fat-secretome induces its upregulation, dapagliflozin can modulated it. Because CD11b upregulation is associated with higher neutrophils migration and adhesion into endothelial cells, dapagliflozin might modulate this mechanism on patients with obesity and HFpEF.</x:t>
  </x:si>
  <x:si>
    <x:t xml:space="preserve">Almengló C; Fu X; Flores-Arias MT; Fernández ÁL; Viñuela JE; Martínez-Cereijo JM; Durán D; Rodríguez-Mañero M; González-Juanatey JR; Eiras S</x:t>
  </x:si>
  <x:si>
    <x:t xml:space="preserve">Journal of cellular and molecular medicine</x:t>
  </x:si>
  <x:si>
    <x:t xml:space="preserve">10.1111/jcmm.17466</x:t>
  </x:si>
  <x:si>
    <x:t xml:space="preserve">35818731</x:t>
  </x:si>
  <x:si>
    <x:t xml:space="preserve">https://pubmed.ncbi.nlm.nih.gov/35818731/</x:t>
  </x:si>
  <x:si>
    <x:t xml:space="preserve">SCR_000154</x:t>
  </x:si>
  <x:si>
    <x:t xml:space="preserve">Sodium-glucose cotransport-2 inhibitor induced ketoacidosis following coronary artery bypass surgery: implications for management.</x:t>
  </x:si>
  <x:si>
    <x:t xml:space="preserve">Sodium-glucose co-transporter 2 inhibitors (SGLT2i) improve cardiovascular outcomes in patients with type 2 diabetes (T2D). Diabetic ketoacidosis (DKA) is an uncommon, but well recognised, life-threatening complication of SGLT2i. In a retrospective study of patients with T2D undergoing cardiac surgery at our institution, DKA occurred in 15.3% of patients taking SGLT2i at the time of surgery, compared with 0.47% of non-SGLT2i-treated patients. Intravenous insulin in the first 24 h after surgery was associated with a significantly lower risk of DKA in SGLT2i patients. Use of an insulin infusion should be considered in these patients, especially in those who are unable to cease their SGLT2i pre-operatively.</x:t>
  </x:si>
  <x:si>
    <x:t xml:space="preserve">McCann M; O'Brien A; Larbalestier R; Davis T</x:t>
  </x:si>
  <x:si>
    <x:t xml:space="preserve">Internal medicine journal</x:t>
  </x:si>
  <x:si>
    <x:t xml:space="preserve">10.1111/imj.15772</x:t>
  </x:si>
  <x:si>
    <x:t xml:space="preserve">35538006</x:t>
  </x:si>
  <x:si>
    <x:t xml:space="preserve">https://pubmed.ncbi.nlm.nih.gov/35538006/</x:t>
  </x:si>
  <x:si>
    <x:t xml:space="preserve">SCR_000155</x:t>
  </x:si>
  <x:si>
    <x:t xml:space="preserve">Heart failure in adults with congenital heart disease.</x:t>
  </x:si>
  <x:si>
    <x:t xml:space="preserve">Heart failure (HF) represents the leading cause of morbidity and mortality in adult patients with congenital heart disease. The nature of underlying congenital heart disease has bearing on timing and severity of HF and impacts on short- and long-term outcomes. HF can be subclinical, underscoring the need for close follow-up at tertiary centres with timely management of target hemodynamic lesions. Drug therapies have an effect in systemic left ventricle failure and are employed in acute HF for symptomatic relief. Data on elective drug therapy for the failing systemic right ventricle and/or Fontan circulation is currently lacking. Drugs such as angiotensin receptor blockers with neprilysin inhibitors or sodium-glucose co-transporter-2 inhibitors may show benefit. Cardiac resynchronization therapy, in appropriately selected patients, is considered a treatment option. Mechanical circulatory support and transplantation remain the last resource in highly selected patients. As the congenital heart disease population continues to grow and age, both outpatient and inpatient service for HF will continue to play a major role in the care of adult patients with congenital heart disease.</x:t>
  </x:si>
  <x:si>
    <x:t xml:space="preserve">Brida M; Lovrić D; Griselli M; Riesgo Gil F; Gatzoulis MA</x:t>
  </x:si>
  <x:si>
    <x:t xml:space="preserve">10.1016/j.ijcard.2022.03.018</x:t>
  </x:si>
  <x:si>
    <x:t xml:space="preserve">35283250</x:t>
  </x:si>
  <x:si>
    <x:t xml:space="preserve">https://pubmed.ncbi.nlm.nih.gov/35283250/</x:t>
  </x:si>
  <x:si>
    <x:t xml:space="preserve">SCR_000156</x:t>
  </x:si>
  <x:si>
    <x:t xml:space="preserve">Dapagliflozin post-transcatheter aortic valve implantation: the need for further evidence.</x:t>
  </x:si>
  <x:si>
    <x:t xml:space="preserve">de Sousa C; Pinto FJ</x:t>
  </x:si>
  <x:si>
    <x:t xml:space="preserve">10.1002/ejhf.2436</x:t>
  </x:si>
  <x:si>
    <x:t xml:space="preserve">35060254</x:t>
  </x:si>
  <x:si>
    <x:t xml:space="preserve">Editorial; Comment</x:t>
  </x:si>
  <x:si>
    <x:t xml:space="preserve">https://pubmed.ncbi.nlm.nih.gov/35060254/</x:t>
  </x:si>
  <x:si>
    <x:t xml:space="preserve">SCR_000157</x:t>
  </x:si>
  <x:si>
    <x:t xml:space="preserve">Insulin and glucose infusion could prevent euglycemic diabetic ketoacidosis associated with sodium-glucose cotransporter 2 inhibitors.</x:t>
  </x:si>
  <x:si>
    <x:t xml:space="preserve">Perioperative euglycemic diabetic ketoacidosis (euDKA) is a serious adverse effect of sodium-glucose cotransporter 2 inhibitor (SGLT2i) treatment. We observed perioperative euDKA immediately after discontinuing insulin infusion that was started during surgery in a patient with type 2 diabetes mellitus (T2DM) for whom empagliflozin could not be withdrawn before emergency off-pump coronary artery bypass grafting (OPCAB). Insulin infusion that was started during surgery unexpectedly prevented euDKA until its discontinuation. Therefore, we hypothesized that insulin and glucose infusion initiated at the start of emergency surgery in patients receiving SGLT2is prevents perioperative euDKA. We implemented this strategy during emergency OPCAB in another patient with T2DM who received empagliflozin 2 days before surgery and observed that the patient did not develop perioperative euDKA. With the increasing use of SGLT2is, surgeons may encounter more SGLT2i users who require emergency surgeries. The administration of insulin and glucose infusion in advance emergency surgery can prevent perioperative euDKA.</x:t>
  </x:si>
  <x:si>
    <x:t xml:space="preserve">Ito T; Sugasawa G; Suzuki F; Sunada M; Iwamuro K; Nakano T; Saito M; Maeba S</x:t>
  </x:si>
  <x:si>
    <x:t xml:space="preserve">Indian journal of thoracic and cardiovascular surgery</x:t>
  </x:si>
  <x:si>
    <x:t xml:space="preserve">10.1007/s12055-021-01227-9</x:t>
  </x:si>
  <x:si>
    <x:t xml:space="preserve">34898883</x:t>
  </x:si>
  <x:si>
    <x:t xml:space="preserve">https://pubmed.ncbi.nlm.nih.gov/34898883/</x:t>
  </x:si>
  <x:si>
    <x:t xml:space="preserve">SCR_000158</x:t>
  </x:si>
  <x:si>
    <x:t xml:space="preserve">Euglycemic Diabetic Ketoacidosis in a Sedated Patient after Coronary Artery Bypass Grafting: A Case Report and Literature Review.</x:t>
  </x:si>
  <x:si>
    <x:t xml:space="preserve">Euglycemic diabetic ketoacidosis (EDKA) is a rare and serious adverse effect of sodium-glucose cotransporter 2 inhibitors (SGLT-2i). The diagnosis is challenging due to the rarity, nonspecific symptoms, and absence of the alarmingly high blood glucose levels, and thus, it could be initially missed resulting in delayed treatment. This is particularly important for sedated patients, as the absence of typical clinical signs and symptoms can obscure the diagnosis. We present the case of a patient with type 2 diabetes mellitus on empagliflozin who developed EDKA while sedated after coronary artery bypass grafting (CABG) despite stopping the medication 24 hours prior to surgery. We also summarize the current literature on EDKA after CABG. Physicians must be aware and maintain a high index of suspicion for the illness, especially in patients with T2DM taking SGLT-2i and undergoing a major operation such as CABG. Emergent treatment and multidisciplinary follow-up are needed to improve patient outcomes and mitigate complications. Physicians should also consider identifying the optimal time to discontinue SGLT-2i before major surgeries and possible ketone studies in such patients, especially those sedated following the surgery.</x:t>
  </x:si>
  <x:si>
    <x:t xml:space="preserve">Alabdaljabar MS; Abdullah KM; Almasood A; Ali SS; Ashmeg A</x:t>
  </x:si>
  <x:si>
    <x:t xml:space="preserve">Case reports in medicine</x:t>
  </x:si>
  <x:si>
    <x:t xml:space="preserve">10.1155/2021/2086520</x:t>
  </x:si>
  <x:si>
    <x:t xml:space="preserve">34840578</x:t>
  </x:si>
  <x:si>
    <x:t xml:space="preserve">https://pubmed.ncbi.nlm.nih.gov/34840578/</x:t>
  </x:si>
  <x:si>
    <x:t xml:space="preserve">SCR_000159</x:t>
  </x:si>
  <x:si>
    <x:t xml:space="preserve">Sodium/glucose cotransporter 2 (SGLT2) inhibitors improve cardiac function by reducing JunD expression in human diabetic hearts.</x:t>
  </x:si>
  <x:si>
    <x:t xml:space="preserve">BACKGROUND: The pathogenesis of experimental diabetic cardiomyopathy may involve the activator protein 1 (AP-1) member, JunD. Using non-diabetic heart transplant (HTX) in recipients with diabetes, we examined the effects of the diabetic milieu (hyperglycemia and insulin resistance) on cardiac JunD expression over 12 months. Because sodium/glucose cotransporter-2 inhibitors (SGLT2i) significantly reverse high glucose-induced AP-1 binding in the proximal tubular cell, we investigated JunD expression in a subgroup of type 2 diabetic recipients receiving SGLT2i treatment. METHODS: We evaluated 77 first HTX recipients (40 and 37 patients with and without diabetes, respectively). Among the recipients with diabetes, 17 (45.9%) were receiving SGLT2i treatment. HTX recipients underwent standard clinical evaluation (metabolic status, echocardiography, coronary computed tomography angiography, and endomyocardial biopsy). In the biopsy samples, we evaluated JunD, insulin receptor substrates 1 and 2 (IRS1 and IRS2), peroxisome proliferator-activated receptor-γ (PPAR-γ), and ceramide levels using real-time polymerase chain reaction and immunofluorescence. The biopsy evaluations in this study were performed at 1-4 weeks (basal), 5-12 weeks (intermediate), and up to 48 weeks (final, end of 12-month follow-up) after HTX. RESULTS: There was a significant early and progressive increase in the cardiac expression of JunD/PPAR-γ and ceramide levels, along with a significant decrease in IRS1 and IRS2 in recipients with diabetes but not in those without diabetes. These molecular changes were blunted in patients with diabetes receiving SGLT2i treatment. CONCLUSION: Early pathogenesis in human diabetic cardiomyopathy is associated with JunD/PPAR-γ overexpression and lipid accumulation following HTX in recipients with diabetes. Remarkably, this phenomenon was reduced by concomitant therapy with SGLT2i, which acted directly on diabetic hearts.</x:t>
  </x:si>
  <x:si>
    <x:t xml:space="preserve">Marfella R; D'Onofrio N; Trotta MC; Sardu C; Scisciola L; Amarelli C; Balestrieri ML; Grimaldi V; Mansueto G; Esposito S; D'Amico M; Golino P; Signoriello G; De Feo M; Maiello C; Napoli C; Paolisso G</x:t>
  </x:si>
  <x:si>
    <x:t xml:space="preserve">Metabolism: clinical and experimental</x:t>
  </x:si>
  <x:si>
    <x:t xml:space="preserve">10.1016/j.metabol.2021.154936</x:t>
  </x:si>
  <x:si>
    <x:t xml:space="preserve">34801581</x:t>
  </x:si>
  <x:si>
    <x:t xml:space="preserve">Clinical Trial; Journal Article; Research Support, Non-U.S. Gov't</x:t>
  </x:si>
  <x:si>
    <x:t xml:space="preserve">https://pubmed.ncbi.nlm.nih.gov/34801581/</x:t>
  </x:si>
  <x:si>
    <x:t xml:space="preserve">SCR_000160</x:t>
  </x:si>
  <x:si>
    <x:t xml:space="preserve">Real-world barriers and safety of initiating sodium-glucose co-transporter 2 inhibitor treatment immediately following an acute cardiac event in people with diabetes.</x:t>
  </x:si>
  <x:si>
    <x:t xml:space="preserve">In this real-world study, the main barriers for not initiating SGLT2 inhibitor therapy early after an acute cardiac event are prescribing criteria around glycated haemoglobin and renal function. Initiation of SGLT2 inhibitors near to, or at, hospital discharge following the cardiac event was not associated with 30-day diabetic ketoacidosis readmissions.</x:t>
  </x:si>
  <x:si>
    <x:t xml:space="preserve">Hitchen SA; Lan NSR; Rankin JM; Larbalestier R; Yeap BB; Fegan PG</x:t>
  </x:si>
  <x:si>
    <x:t xml:space="preserve">Journal of diabetes and its complications</x:t>
  </x:si>
  <x:si>
    <x:t xml:space="preserve">10.1016/j.jdiacomp.2021.108057</x:t>
  </x:si>
  <x:si>
    <x:t xml:space="preserve">34610888</x:t>
  </x:si>
  <x:si>
    <x:t xml:space="preserve">https://pubmed.ncbi.nlm.nih.gov/34610888/</x:t>
  </x:si>
  <x:si>
    <x:t xml:space="preserve">SCR_000161</x:t>
  </x:si>
  <x:si>
    <x:t xml:space="preserve">Sodium-Glucose Cotransporter-2 Inhibitor-Associated Euglycemic Diabetic Ketoacidosis After Orthotopic Heart Transplant in a Prediabetic Patient: A Case Report.</x:t>
  </x:si>
  <x:si>
    <x:t xml:space="preserve">Postoperative euglycemic diabetic ketoacidosis (euDKA) associated with sodium-glucose cotransporter-2 (SGLT2) inhibitor use has been well-documented and carries a Food and Drug Administration recommendation to hold SGLT2 inhibitors 3 to 4 days before a planned surgical procedure. Unfortunately, many surgical procedures, such as orthotopic heart transplant (OHT), are unplanned and unpredictable. With the increasing use of SGLT2 inhibitors in diabetic and non-diabetic heart failure patients, new challenges in patient management and perioperative risk have arisen. We report a case in which SGLT2 inhibitor-associated euDKA complicated the postoperative course of a prediabetic patient who had undergone OHT.</x:t>
  </x:si>
  <x:si>
    <x:t xml:space="preserve">Cha BM; Davoudi R; DiVita MC; Fan AM; Kamath MY</x:t>
  </x:si>
  <x:si>
    <x:t xml:space="preserve">Transplantation proceedings</x:t>
  </x:si>
  <x:si>
    <x:t xml:space="preserve">10.1016/j.transproceed.2021.08.017</x:t>
  </x:si>
  <x:si>
    <x:t xml:space="preserve">34531071</x:t>
  </x:si>
  <x:si>
    <x:t xml:space="preserve">https://pubmed.ncbi.nlm.nih.gov/34531071/</x:t>
  </x:si>
  <x:si>
    <x:t xml:space="preserve">SCR_000162</x:t>
  </x:si>
  <x:si>
    <x:t xml:space="preserve">Euglycemic Diabetic Ketoacidosis After Cardiac Surgery in a Patient Treated With Empagliflozin for Type 2 Diabetes Mellitus.</x:t>
  </x:si>
  <x:si>
    <x:t xml:space="preserve">Wohlrab P; Kainz M; Schiferer A; Zapletal B; Tschernko E</x:t>
  </x:si>
  <x:si>
    <x:t xml:space="preserve">10.1053/j.jvca.2021.07.048</x:t>
  </x:si>
  <x:si>
    <x:t xml:space="preserve">34465512</x:t>
  </x:si>
  <x:si>
    <x:t xml:space="preserve">https://pubmed.ncbi.nlm.nih.gov/34465512/</x:t>
  </x:si>
  <x:si>
    <x:t xml:space="preserve">SCR_000163</x:t>
  </x:si>
  <x:si>
    <x:t xml:space="preserve">The Sodium-Glucose Cotransporter-2 Inhibitor Canagliflozin Alleviates Endothelial Dysfunction Following In Vitro Vascular Ischemia/Reperfusion Injury in Rats.</x:t>
  </x:si>
  <x:si>
    <x:t xml:space="preserve">Vascular ischemia/reperfusion injury (IRI) contributes to graft failure and adverse clinical outcomes following coronary artery bypass grafting. Sodium-glucose-cotransporter (SGLT)-2-inhibitors have been shown to protect against myocardial IRI, irrespective of diabetes. We hypothesized that adding canagliflozin (CANA) (an SGLT-2-inhibitor) to saline protects vascular grafts from IRI. Aortic rings from non-diabetic rats were isolated and immediately mounted in organ bath chambers (control, n = 9-10 rats) or underwent cold ischemic preservation in saline, supplemented either with a DMSO vehicle (IR, n = 8-10 rats) or 50µM CANA (IR + CANA, n = 9-11 rats). Vascular function was measured, the expression of 88 genes using PCR-array was analyzed, and feature selection using machine learning was applied. Impaired maximal vasorelaxation to acetylcholine in the IR-group compared to controls was significantly ameliorated by CANA (IR 31.7 ± 3.2% vs. IR + CANA 51.9 ± 2.5%, p &lt; 0.05). IR altered the expression of 17 genes. Ccl2, Ccl3, Ccl4, CxCr4, Fos, Icam1, Il10, Il1a and Il1b have been found to have the highest interaction. Compared to controls, IR significantly upregulated the mRNA expressions of Il1a and Il6, which were reduced by 1.5- and 1.75-fold with CANA, respectively. CANA significantly prevented the upregulation of Cd40, downregulated NoxO1 gene expression, decreased ICAM-1 and nitrotyrosine, and increased PECAM-1 immunoreactivity. CANA alleviates endothelial dysfunction following IRI.</x:t>
  </x:si>
  <x:si>
    <x:t xml:space="preserve">Korkmaz-Icöz S; Kocer C; Sayour AA; Kraft P; Benker MI; Abulizi S; Georgevici AI; Brlecic P; Radovits T; Loganathan S; Karck M; Szabó G</x:t>
  </x:si>
  <x:si>
    <x:t xml:space="preserve">10.3390/ijms22157774</x:t>
  </x:si>
  <x:si>
    <x:t xml:space="preserve">34360539</x:t>
  </x:si>
  <x:si>
    <x:t xml:space="preserve">https://pubmed.ncbi.nlm.nih.gov/34360539/</x:t>
  </x:si>
  <x:si>
    <x:t xml:space="preserve">SCR_000164</x:t>
  </x:si>
  <x:si>
    <x:t xml:space="preserve">Effects of canagliflozin on human myocardial redox signalling: clinical implications.</x:t>
  </x:si>
  <x:si>
    <x:t xml:space="preserve">AIMS: Recent clinical trials indicate that sodium-glucose cotransporter 2 (SGLT2) inhibitors improve cardiovascular outcomes in heart failure patients, but the underlying mechanisms remain unknown. We explored the direct effects of canagliflozin, an SGLT2 inhibitor with mild SGLT1 inhibitory effects, on myocardial redox signalling in humans. METHODS AND RESULTS: Study 1 included 364 patients undergoing cardiac surgery. Right atrial appendage biopsies were harvested to quantify superoxide (O2.-) sources and the expression of inflammation, fibrosis, and myocardial stretch genes. In Study 2, atrial tissue from 51 patients was used ex vivo to study the direct effects of canagliflozin on NADPH oxidase activity and nitric oxide synthase (NOS) uncoupling. Differentiated H9C2 and primary human cardiomyocytes (hCM) were used to further characterize the underlying mechanisms (Study 3). SGLT1 was abundantly expressed in human atrial tissue and hCM, contrary to SGLT2. Myocardial SGLT1 expression was positively associated with O2.- production and pro-fibrotic, pro-inflammatory, and wall stretch gene expression. Canagliflozin reduced NADPH oxidase activity via AMP kinase (AMPK)/Rac1signalling and improved NOS coupling via increased tetrahydrobiopterin bioavailability ex vivo and in vitro. These were attenuated by knocking down SGLT1 in hCM. Canagliflozin had striking ex vivo transcriptomic effects on myocardial redox signalling, suppressing apoptotic and inflammatory pathways in hCM. CONCLUSIONS: We demonstrate for the first time that canagliflozin suppresses myocardial NADPH oxidase activity and improves NOS coupling via SGLT1/AMPK/Rac1 signalling, leading to global anti-inflammatory and anti-apoptotic effects in the human myocardium. These findings reveal a novel mechanism contributing to the beneficial cardiac effects of canagliflozin.</x:t>
  </x:si>
  <x:si>
    <x:t xml:space="preserve">Kondo H; Akoumianakis I; Badi I; Akawi N; Kotanidis CP; Polkinghorne M; Stadiotti I; Sommariva E; Antonopoulos AS; Carena MC; Oikonomou EK; Reus EM; Sayeed R; Krasopoulos G; Srivastava V; Farid S; Chuaiphichai S; Shirodaria C; Channon KM; Casadei B; Antoniades C</x:t>
  </x:si>
  <x:si>
    <x:t xml:space="preserve">10.1093/eurheartj/ehab420</x:t>
  </x:si>
  <x:si>
    <x:t xml:space="preserve">34293101</x:t>
  </x:si>
  <x:si>
    <x:t xml:space="preserve">https://pubmed.ncbi.nlm.nih.gov/34293101/</x:t>
  </x:si>
  <x:si>
    <x:t xml:space="preserve">SCR_000165</x:t>
  </x:si>
  <x:si>
    <x:t xml:space="preserve">Investigating the effect of an education programme on diabetes and lipid lowering medication usage following coronary artery bypass graft surgery.</x:t>
  </x:si>
  <x:si>
    <x:t xml:space="preserve">BACKGROUND: Guidelines advocate multifactorial cardiovascular risk management in patients with diabetes and atherosclerotic cardiovascular disease. AIM: In hospitalised patients with diabetes following coronary artery bypass graft (CABG), we aimed to evaluate the impacts of decision-support algorithms for optimising glycaemia and lipid-lowering. We also assessed the safety of initiating sodium-glucose cotransporter 2 (SGLT2) inhibitors near time of hospital discharge. METHODS: This was a single-site, pre- and post-intervention analysis of glucose and lipid management in consecutive hospitalised patients with diabetes undergoing CABG surgery. The intervention involved education and decision-support algorithms designed by a multidisciplinary committee to guide cardiac surgery unit clinicians. RESULTS: A total of 200 patients were included in the study. The pre- and post-intervention groups had similar baseline characteristics (HbA1c 7.9 ± 1.9% vs 8.1 ± 1.8%). Of 4092 blood glucose measurements, the incidence of levels between 5 and 10 mmol/L was not different post-intervention (55.5% vs 57.0%; P = 0.441). Fewer endocrinology consultations occurred (59.0% vs 45.0%; P = 0.048) and rates of hypoglycaemia remained low. High-intensity statin was prescribed in &gt;90% pre- and post-intervention, although non-statin lipid-lowering agents remained &lt;10% despite patients not achieving LDL-C targets. No 30-day readmissions for diabetic ketoacidosis occurred in patients prescribed SGLT2 inhibitors. CONCLUSION: The intervention did not improve inpatient glycaemia or increase non-statin lipid-lowering prescriptions in patients with diabetes following CABG surgery but did reduce reliance on specialty input. Initiation of SGLT2 inhibitor therapy near time of hospital discharge was not associated with safety concerns. Alternative interventions or strategies are required to optimise glycaemia and non-statin lipid-lowering therapy prescribing in this setting.</x:t>
  </x:si>
  <x:si>
    <x:t xml:space="preserve">Hitchen SA; Lan NSR; Ali US; Hort AL; Larbalestier R; Yeap BB; Fegan PG</x:t>
  </x:si>
  <x:si>
    <x:t xml:space="preserve">10.1111/imj.15393</x:t>
  </x:si>
  <x:si>
    <x:t xml:space="preserve">34033208</x:t>
  </x:si>
  <x:si>
    <x:t xml:space="preserve">https://pubmed.ncbi.nlm.nih.gov/34033208/</x:t>
  </x:si>
  <x:si>
    <x:t xml:space="preserve">SCR_000166</x:t>
  </x:si>
  <x:si>
    <x:t xml:space="preserve">The catabolic triad: case report of fasting, major cardiac surgery and sodium-glucose co-transporter 2 inhibitors leading to perioperative euglycaemic ketoacidosis.</x:t>
  </x:si>
  <x:si>
    <x:t xml:space="preserve">Sodium-glucose co-transporter-2 inhibitors (SGLT2i) are novel oral hypoglycaemic agents. For patients with diabetes mellitus, without a prior history of myocardial infarction or atherosclerotic disease, SGLT2i have been shown to reduce incident heart failure and worsening renal function. SGLT2i therapy is increasing among patients presenting for cardiac surgery. However, the perioperative use of SGLT2i carries a significant risk of euglycaemic diabetic ketoacidosis, due to their catabolic mechanism of action. This case report demonstrates euglycaemic ketoacidosis post-coronary artery bypass grafting secondary to SGLT2i, highlighting the multiple risk factors and consequences of this iatrogenic complication.</x:t>
  </x:si>
  <x:si>
    <x:t xml:space="preserve">Smyth CC; Collins M; McCarthy J; Galvin S</x:t>
  </x:si>
  <x:si>
    <x:t xml:space="preserve">Interactive cardiovascular and thoracic surgery</x:t>
  </x:si>
  <x:si>
    <x:t xml:space="preserve">10.1093/icvts/ivab104</x:t>
  </x:si>
  <x:si>
    <x:t xml:space="preserve">33961026</x:t>
  </x:si>
  <x:si>
    <x:t xml:space="preserve">https://pubmed.ncbi.nlm.nih.gov/33961026/</x:t>
  </x:si>
  <x:si>
    <x:t xml:space="preserve">SCR_000167</x:t>
  </x:si>
  <x:si>
    <x:t xml:space="preserve">Empagliflozin induced euglycemic diabetic ketoacidosis in a patient undergoing coronary artery bypass graft despite discontinuation of the drug 48 hours prior to the surgery.</x:t>
  </x:si>
  <x:si>
    <x:t xml:space="preserve">Kuchay MS; Mishra SK; Mehta Y</x:t>
  </x:si>
  <x:si>
    <x:t xml:space="preserve">Diabetes &amp; metabolic syndrome</x:t>
  </x:si>
  <x:si>
    <x:t xml:space="preserve">10.1016/j.dsx.2021.04.016</x:t>
  </x:si>
  <x:si>
    <x:t xml:space="preserve">33915345</x:t>
  </x:si>
  <x:si>
    <x:t xml:space="preserve">https://pubmed.ncbi.nlm.nih.gov/33915345/</x:t>
  </x:si>
  <x:si>
    <x:t xml:space="preserve">SCR_000168</x:t>
  </x:si>
  <x:si>
    <x:t xml:space="preserve">A Case of SGLT2 Inhibitor-Associated Euglycemic Diabetic Ketoacidosis Following Coronary Artery Bypass Surgery.</x:t>
  </x:si>
  <x:si>
    <x:t xml:space="preserve">OBJECTIVE: Sodium-glucose cotransporter 2 (SGLT2) inhibitors are a novel group of oral hypoglycemic agents with multiple proven beneficial effects. However, their use has been associated with euglycemic diabetic ketoacidosis (DKA), typically triggered by risk factors such as acute illness, surgery, and decreased calorie intake. Therefore, it is recommended that patients discontinue SGLT2 inhibitors at least 24 hours before surgery to minimize this risk. We report a case of a postoperative euglycemic DKA in a patient who had discontinued SGLT2 inhibitor therapy 48 hours prior to surgery. METHODS: We describe the clinical course of a patient with type 2 diabetes mellitus on empagliflozin therapy who was referred for coronary artery bypass graft surgery. RESULTS: A 60-year-old man with type 2 diabetes mellitus developed euglycemic DKA a few hours after coronary artery bypass graft surgery. Laboratory results showed acute postoperative elevated anion gap metabolic acidosis with normal glucose and elevated blood ketone levels. It was later revealed that the patient was treated as an outpatient with empagliflozin; the last dose was taken 48 hours prior to his procedure. CONCLUSION: Euglycemic DKA can occur postoperatively in patients with a history of SGLT2 inhibitor use, even 48 hours after the discontinuation of therapy. This case highlights the need to revisit the recommended time to discontinue these agents, specifically prior to major surgery, because their pharmacokinetic effects may persist after 24 hours of discontinuation, putting patients at risk for postoperative euglycemic DKA.</x:t>
  </x:si>
  <x:si>
    <x:t xml:space="preserve">Osafehinti DA; Okoli OJ; Karam JG</x:t>
  </x:si>
  <x:si>
    <x:t xml:space="preserve">AACE clinical case reports</x:t>
  </x:si>
  <x:si>
    <x:t xml:space="preserve">10.1016/j.aace.2020.11.014</x:t>
  </x:si>
  <x:si>
    <x:t xml:space="preserve">33851014</x:t>
  </x:si>
  <x:si>
    <x:t xml:space="preserve">https://pubmed.ncbi.nlm.nih.gov/33851014/</x:t>
  </x:si>
  <x:si>
    <x:t xml:space="preserve">SCR_000169</x:t>
  </x:si>
  <x:si>
    <x:t xml:space="preserve">Effects of GLP-1 receptor agonists and SGLT-2 inhibitors in heart transplant patients with type 2 diabetes: Initial report from a cardiometabolic center of excellence.</x:t>
  </x:si>
  <x:si>
    <x:t xml:space="preserve">Type 2 diabetes mellitus (T2D) is a common comorbidity among patients who have undergone heart transplantation. Recently two classes of glucose-lowering medications (sodium-glucose cotransporter type-2 inhibitors [SGLT-2Is] and glucagon-like-peptide-1 receptor agonists [GLP-1RAs]), have been shown to significantly improve cardiovascular outcomes. There is a paucity of data regarding their use in immunosuppressed patients, with many studies specifically excluding this population. We retrospectively evaluated the safety and efficacy of GLP-1RAs and SGLT-2Is in patients who had undergone orthotopic heart transplant at a high-volume center. Among 21 patients, we found significant weight loss, reductions in insulin use, hemoglobin A1c, and low-density lipoprotein-cholesterol. Moreover, both SGLT-2Is and GLP-1RAs were well tolerated with no adverse events leading to discontinuation of either therapy. While larger studies of patients after solid organ transplant are needed, this small hypothesis-generating study demonstrates that SGLT-2Is and GLP-1RAs appear safe and effective therapies among patients with T2D after heart transplant.</x:t>
  </x:si>
  <x:si>
    <x:t xml:space="preserve">Sammour Y; Nassif M; Magwire M; Thomas M; Fendler T; Khumri T; Sperry BW; O'Keefe J; Kosiborod M</x:t>
  </x:si>
  <x:si>
    <x:t xml:space="preserve">The Journal of heart and lung transplantation : the official publication of the International Society for Heart Transplantation</x:t>
  </x:si>
  <x:si>
    <x:t xml:space="preserve">10.1016/j.healun.2021.02.012</x:t>
  </x:si>
  <x:si>
    <x:t xml:space="preserve">33745782</x:t>
  </x:si>
  <x:si>
    <x:t xml:space="preserve">https://pubmed.ncbi.nlm.nih.gov/33745782/</x:t>
  </x:si>
  <x:si>
    <x:t xml:space="preserve">SCR_000170</x:t>
  </x:si>
  <x:si>
    <x:t xml:space="preserve">Life-Threatening Complications Related to Delayed Diagnosis of Euglycemic Diabetic Ketoacidosis Associated with Sodium-Glucose Cotransporter-2 Inhibitors: A Report of 2 Cases.</x:t>
  </x:si>
  <x:si>
    <x:t xml:space="preserve">BACKGROUND Sodium-glucose cotransporter-2 inhibitors (SGLT2is) are widely used owing to their effective glycemic control and protective effects against heart and kidney failure. Euglycemic diabetic ketoacidosis (eu-DKA) is a complication of treatment with SGLT2is. Eu-DKA often leads to delayed diagnosis and results in life-threatening complications. We report 2 critical cases of SGLT2i-associated eu-DKA. CASE REPORT Case 1 was 52-year-old woman with unstable angina scheduled for elective coronary artery bypass grafting surgery. Preoperatively, she underwent tooth extraction which led to poor food intake because of pain. Three days before surgery, the patient had SGLT2i-associated eu-DKA and myocardial infraction, requiring percutaneous coronary intervention and peripheral venoarterial extracorporeal membrane oxygenation. The patient had taken SGLT2i until the morning of admission to the intensive care unit. Case 2 was a 76-year-old woman experiencing SGLT2i-associated eu-DKA and sinus arrest, necessitating a temporary pacemaker, followed by elective gastrojejunal bypass surgery. The SGLT2i was discontinued the day before surgery. On day 3 following surgery, the patient's metabolic acidosis improved, and sinus arrest resolved. CONCLUSIONS Precipitating factors of eu-DKA (caloric restriction and surgical stress) and delay in diagnosis because of a lack of evidence of hyperglycemia could contribute to the development and worsening of life-threatening complications. This reiterates the importance of reviewing ongoing medications of patients with diabetes and considering eu-DKA as a differential diagnosis for patients with high anion gap metabolic acidosis to ensure early intervention. SGLT2i-associated DKA likely develops perioperatively; therefore, clinicians should pay attention to the discontinuation period of SGLT2i before any surgical intervention.</x:t>
  </x:si>
  <x:si>
    <x:t xml:space="preserve">Goto S; Ishikawa JY; Idei M; Iwabuchi M; Namekawa M; Nomura T</x:t>
  </x:si>
  <x:si>
    <x:t xml:space="preserve">The American journal of case reports</x:t>
  </x:si>
  <x:si>
    <x:t xml:space="preserve">10.12659/ajcr.929773</x:t>
  </x:si>
  <x:si>
    <x:t xml:space="preserve">33723205</x:t>
  </x:si>
  <x:si>
    <x:t xml:space="preserve">https://pubmed.ncbi.nlm.nih.gov/33723205/</x:t>
  </x:si>
  <x:si>
    <x:t xml:space="preserve">SCR_000171</x:t>
  </x:si>
  <x:si>
    <x:t xml:space="preserve">Perioperative euglycemic diabetic ketoacidosis following use of SGLT-2 inhibitors after cardiac surgery.</x:t>
  </x:si>
  <x:si>
    <x:t xml:space="preserve">Pontes JPJ; de Melo CS; Arantes FBB; de Souza Ramos JTG; Módolo NSP; Navarro E Lima LH</x:t>
  </x:si>
  <x:si>
    <x:t xml:space="preserve">10.1016/j.jclinane.2021.110201</x:t>
  </x:si>
  <x:si>
    <x:t xml:space="preserve">33647525</x:t>
  </x:si>
  <x:si>
    <x:t xml:space="preserve">https://pubmed.ncbi.nlm.nih.gov/33647525/</x:t>
  </x:si>
  <x:si>
    <x:t xml:space="preserve">SCR_000172</x:t>
  </x:si>
  <x:si>
    <x:t xml:space="preserve">Highlights from the European society of cardiology congress 2020.</x:t>
  </x:si>
  <x:si>
    <x:t xml:space="preserve">Nabavizadeh P; Steen DL</x:t>
  </x:si>
  <x:si>
    <x:t xml:space="preserve">Journal of thrombosis and thrombolysis</x:t>
  </x:si>
  <x:si>
    <x:t xml:space="preserve">10.1007/s11239-020-02365-4</x:t>
  </x:si>
  <x:si>
    <x:t xml:space="preserve">33403568</x:t>
  </x:si>
  <x:si>
    <x:t xml:space="preserve">Conference Proceedings</x:t>
  </x:si>
  <x:si>
    <x:t xml:space="preserve">https://pubmed.ncbi.nlm.nih.gov/33403568/</x:t>
  </x:si>
  <x:si>
    <x:t xml:space="preserve">SCR_000173</x:t>
  </x:si>
  <x:si>
    <x:t xml:space="preserve">The cardioprotective potential of the sodium-glucose cotransporter 2 inhibitor empagliflozin in donor heart preservation.</x:t>
  </x:si>
  <x:si>
    <x:t xml:space="preserve">Villanueva JE; Gao L; Doyle A; Scheuer SE; Hicks M; Jabbour A; Macdonald PS</x:t>
  </x:si>
  <x:si>
    <x:t xml:space="preserve">10.1016/j.healun.2020.06.007</x:t>
  </x:si>
  <x:si>
    <x:t xml:space="preserve">32650984</x:t>
  </x:si>
  <x:si>
    <x:t xml:space="preserve">https://pubmed.ncbi.nlm.nih.gov/32650984/</x:t>
  </x:si>
  <x:si>
    <x:t xml:space="preserve">SCR_000174</x:t>
  </x:si>
  <x:si>
    <x:t xml:space="preserve">Prevention of cardiac allograft vasculopathy - A new possible indication for SGLT-2 inhibitors?</x:t>
  </x:si>
  <x:si>
    <x:t xml:space="preserve">One of the main risk factors influencing patient survival after heart transplantation is cardiac allograft vasculopathy, the leading cause of death after the first year of transplantation. It is an entity of multifactorial origin including both humoral and cellular alloimmune responses as well as immunologic-independent factors such as graft injury, ischaemia-reperfusion injury, oxidative stress, cytomegalovirus infection, hyperlipidaemia, diabetes mellitus and hypertension. A fundamental characteristic of cardiac allograft vasculopathy is vascular remodelling, initially driven by the injury and apoptosis of endothelial cells, then by the migration of smooth muscle cells leading to intimal thickening and ultimately allograft vessel occlusion. Since cardiac allograft vasculopathy occurs within the first year of transplantation, prevention strategies should be implemented early. The disease could be partially prevented with overall cardiovascular risk reduction, mainly by controlling diabetes, hyperlipidemia and hypertension that can be related to the recipient but also induced or augmented by immunosuppressive drugs used. Current therapeutic options are only partially effective in postponing the development of vascular lesions. Diabetes is an important issue in the management of patients following cardiac transplantation. Although it is highly prevalent among heart transplant recipients (23% at 1 year increasing to 37% at 5 years after the procedure), no specific therapeutic protocols have been recommended yet. Sodium-glucose cotransporter-2 (SGLT-2) inhibitors are a novel class of antidiabetic drugs that produce glycosuric and natriuretic effects by inhibiting glucose and sodium reabsorption from the renal proximal tubules and have already shown benefits in cardiovascular outcome trials. Our hypothesis is that SGLT-2 inhibitors could prevent or delay the development of cardiac allograft vasculopathy targeting various mechanisms underpinning its pathogenesis due to their antidiabetic, antihypertensive, anti-inflammatory, antifibrotic, antioxidative and antiapoptotic effects, as well as through amelioration of endothelial dysfunction, ischaemia-reperfusion injury and modification of neurohumoral system. All the segments of the proposed theory that could interfere with evolution of vasculopathy are discussed separately within the main text. The implications for the science if the hypothesis were to be confirmed are as follows: prolongation of lifespan in heart transplant patients with diabetes, reduction of polypragmasia in posttransplant patients while targeting several mechanisms with one drug, and the possibility of spreading the indications even to patients without diabetes.</x:t>
  </x:si>
  <x:si>
    <x:t xml:space="preserve">Grubić Rotkvić P; Cigrovski Berković M; Rotkvić L; Bulj N</x:t>
  </x:si>
  <x:si>
    <x:t xml:space="preserve">Medical hypotheses</x:t>
  </x:si>
  <x:si>
    <x:t xml:space="preserve">10.1016/j.mehy.2020.109594</x:t>
  </x:si>
  <x:si>
    <x:t xml:space="preserve">32006921</x:t>
  </x:si>
  <x:si>
    <x:t xml:space="preserve">https://pubmed.ncbi.nlm.nih.gov/32006921/</x:t>
  </x:si>
  <x:si>
    <x:t xml:space="preserve">SCR_000175</x:t>
  </x:si>
  <x:si>
    <x:t xml:space="preserve">Direct Effects of Empagliflozin on Extracellular Matrix Remodelling in Human Cardiac Myofibroblasts: Novel Translational Clues to Explain EMPA-REG OUTCOME Results.</x:t>
  </x:si>
  <x:si>
    <x:t xml:space="preserve">BACKGROUND: Empagliflozin, an SGLT2 inhibitor, has shown remarkable reductions in cardiovascular mortality and heart failure admissions (EMPA-REG OUTCOME). However, the mechanism underlying the heart failure protective effects of empagliflozin remains largely unknown. Cardiac fibroblasts play an integral role in the progression of structural cardiac remodelling and heart failure, in part, by regulating extracellular matrix (ECM) homeostasis. The objective of this study was to determine if empagliflozin has a direct effect on human cardiac myofibroblast-mediated ECM remodelling. METHODS: Cardiac fibroblasts were isolated via explant culture from human atrial tissue obtained at open heart surgery. Collagen gel contraction assay was used to assess myofibroblast activity. Cell morphology and cell-mediated ECM remodelling was examined with the use of confocal microscopy. Gene expression of profibrotic markers was assessed with the use of reverse-transcription quantitative polymerase chain reaction. RESULTS: Empagliflozin significantly attenuated transforming growth factor β1-induced fibroblast activation via collagen gel contraction after 72-hour exposure, with escalating concentrations (0.5 μmol/L, 1 μmol/L, and 5 μmol/L) resulting in greater attenuation. Morphologic assessment showed that myofibroblasts exposed to empagliflozin were smaller in size with shorter and fewer number of extensions, indicative of a more quiescent phenotype. Moreover, empagliflozin significantly attenuated cell-mediated ECM remodelling as measured by collagen fibre alignment index. Gene expression profiling revealed significant suppression of critical profibrotic markers by empagliflozin, including COL1A1, ACTA2, CTGF, FN1, and MMP-2. CONCLUSIONS: We provide novel data showing a direct effect of empagliflozin on human cardiac myofibroblast phenotype and function by attenuation of myofibroblast activity and cell-mediated collagen remodelling. These data provide critical insights into the profound effects of empagliflozin as noted in the EMPA-REG OUTCOME study.</x:t>
  </x:si>
  <x:si>
    <x:t xml:space="preserve">Kang S; Verma S; Fatehi Hassanabad A; Teng G; Belke DD; Dundas JA; Guzzardi DG; Svystonyuk DA; Pattar SS; Park DSJ; Turnbull JD; Duff HJ; Tibbles LA; Cunnington RH; Dyck JRB; Fedak PWM</x:t>
  </x:si>
  <x:si>
    <x:t xml:space="preserve">The Canadian journal of cardiology</x:t>
  </x:si>
  <x:si>
    <x:t xml:space="preserve">10.1016/j.cjca.2019.08.033</x:t>
  </x:si>
  <x:si>
    <x:t xml:space="preserve">31837891</x:t>
  </x:si>
  <x:si>
    <x:t xml:space="preserve">https://pubmed.ncbi.nlm.nih.gov/31837891/</x:t>
  </x:si>
  <x:si>
    <x:t xml:space="preserve">SCR_000176</x:t>
  </x:si>
  <x:si>
    <x:t xml:space="preserve">High released lactate by epicardial fat from coronary artery disease patients is reduced by dapagliflozin treatment.</x:t>
  </x:si>
  <x:si>
    <x:t xml:space="preserve">BACKGROUND AND AIMS: Dapagliflozin, a sodium-glucose co-transporter 2 inhibitor, improves glucose uptake by epicardial adipose tissue (EAT). However, its metabolism might raise the lactate production and acidosis under hypoxia conditions, i.e. coronary artery disease (CAD), or lipogenesis and, in consequence, expand adipose tissue. Since lactate secreted by adipose tissue is correlated with tissue stress and inflammation, our aim was to study glucose metabolism by epicardial fat in CAD and its regulation by dapagliflozin. METHODS: Paired EAT and subcutaneous adipose tissue (SAT) biopsies from 49 patients who underwent open-heart surgery were cultured and split into three equal pieces, some treated with and others without dapagliflozin at 10 or 100 μM for 6 h. Anaerobic glucose metabolites were measured in supernatants of fat pads, and acidosis on adipogenesis-induced primary culture cells was analysed by colorimetric or fluorescence assays. Gene expression levels were assessed by real-time polymerase chain reaction. RESULTS: Our results showed that dapagliflozin reduced the released lactate and acidosis in epicardial fat (p &lt; 0.05) without changes in lipid storage-involved genes. In addition, this drug induced gene expression levels of peroxisome proliferator-activated receptor gamma coactivator 1 alpha (PGC1α), a mitochondrial biogenesis-involved gene in both EAT and SAT (p &lt; 0.05). After splitting the population regarding the presence of CAD, we observed higher lactate production in EAT from these patients (2.46 [1.75-3.47] mM), which was reduced after treatment with dapagliflozin 100 μM (1.99 [1.08-2.99] mM, p &lt; 0.01). CONCLUSIONS: Dapagliflozin improved glucose metabolism without lipogenesis-involved gene regulation or lactate production, mainly in patients with CAD. These results suggest an improvement of glucose oxidation metabolism that can contribute to cardiovascular benefits.</x:t>
  </x:si>
  <x:si>
    <x:t xml:space="preserve">Couselo-Seijas M; Agra-Bermejo RM; Fernández AL; Martínez-Cereijo JM; Sierra J; Soto-Pérez M; Rozados-Luis A; González-Juanatey JR; Eiras S</x:t>
  </x:si>
  <x:si>
    <x:t xml:space="preserve">Atherosclerosis</x:t>
  </x:si>
  <x:si>
    <x:t xml:space="preserve">10.1016/j.atherosclerosis.2019.11.016</x:t>
  </x:si>
  <x:si>
    <x:t xml:space="preserve">31783199</x:t>
  </x:si>
  <x:si>
    <x:t xml:space="preserve">https://pubmed.ncbi.nlm.nih.gov/31783199/</x:t>
  </x:si>
  <x:si>
    <x:t xml:space="preserve">SCR_000177</x:t>
  </x:si>
  <x:si>
    <x:t xml:space="preserve">Changes in the Prescription of Glucose-Lowering Medications in Patients With Type 2 Diabetes Mellitus After a Cardiovascular Event: A Call to Action From the DATAFILE Study.</x:t>
  </x:si>
  <x:si>
    <x:t xml:space="preserve">Background Evidence accumulated that some glucose-lowering medications protect against cardiovascular events ( CVEs ) in patients with type 2 diabetes mellitus (T2DM) and established cardiovascular disease. The present study evaluated if and how glucose-lowering medication prescription pattern changes in T2DM after a CVE. Methods and Results DATAFILE (Diabetes Therapy After a Cardiovascular Event) was a retrospective multicenter study conducted at 12 diabetes mellitus specialist outpatient clinics in Italy. We identified T2DM patients with an incident CVE for whom a follow-up visit was available after the event. We selected control T2DM patients without an incident CVE , who were matched with cases for age, sex, known diabetes mellitus duration, baseline hemoglobin A1c, kidney function, and follow-up time. We extracted clinical variables and compared prescribed therapies at baseline and follow-up. We included 563 patients with and 497 matched patients without an incident CVE . As expected, patients with a subsequent CVE had a higher baseline prevalence of ischemic heart disease. After a median of 9.5 months, in patients with versus those without a CVE , there was a significant increase in the prescription of beta-blockers, loop diuretics, dual antiplatelet therapy, and, among glucose-lowering medications, a significant decrease in metformin. Hemoglobin A1c marginally declined only in the control group, whereas low-density lipoprotein cholesterol decreased only in patients with CVE . Conclusions This study highlights that occurrence of a CVE in T2DM patients did not prime the prescription of glucose-lowering medications provided with cardiovascular protective effects, even though glucose control remained poor. These data emphasize the need to optimize the therapeutic regimen of T2DM patients with established cardiovascular disease, according to updated guidelines.</x:t>
  </x:si>
  <x:si>
    <x:t xml:space="preserve">Fadini GP; Frison V; Simioni N; Lapolla A; Gatti A; Bossi AC; Del Buono A; Fornengo P; Gottardo L; Laudato M; Perseghin G; Bonora E; Avogaro A</x:t>
  </x:si>
  <x:si>
    <x:t xml:space="preserve">2019</x:t>
  </x:si>
  <x:si>
    <x:t xml:space="preserve">Journal of the American Heart Association</x:t>
  </x:si>
  <x:si>
    <x:t xml:space="preserve">10.1161/jaha.119.012244</x:t>
  </x:si>
  <x:si>
    <x:t xml:space="preserve">31269877</x:t>
  </x:si>
  <x:si>
    <x:t xml:space="preserve">https://pubmed.ncbi.nlm.nih.gov/31269877/</x:t>
  </x:si>
  <x:si>
    <x:t xml:space="preserve">SCR_000178</x:t>
  </x:si>
  <x:si>
    <x:t xml:space="preserve">[Euglycemic Diabetic Ketoacidosis Caused by a Sodium-glucose Co-transporter (SGLT) 2 Inhibitor after Coronary Artery Bypass Grafting].</x:t>
  </x:si>
  <x:si>
    <x:t xml:space="preserve">A 65-year-old woman with type Ⅱ diabetes and unstable angina presented with chest pain due to in-stent restenosis. Her regular medication comprised an sodium-glucose co-transporter( SGLT) 2 inhibitor. Because of unstable hemodynamic status, semi-emergency coronary artery bypass grafting (CABG) was performed. Postoperatively, the cardiac and hemodynamic status stabilized, but there was progression of metabolic acidosis. Based on the presence of massive urinary ketone bodies without hyper glycosuria, the patient was diagnosed with euglycemic diabetic ketoacidosis( DKA) caused by an SGLT2 inhibitor. Ketoacidosis without elevated blood glucose( i.e., euglycemic DKA) has been reported to be associated with intake of an SGLT2 inhibitor, which promoted glucose excretion in the urine. Our patient developed euglycemic DKA due to the progression of myocardial ischemia and surgical stress. Guidelines in other countries have stipulated that SGLT2 inhibitor should be stopped 24 hours preoperatively. In our case, euglycemic DKA occurred even when the SGLT2 inhibitor was stopped for more than 24 hours preoperatively. Further studies on the withdrawal of an SGLT2 inhibitor in the appropriate perioperative period are required.</x:t>
  </x:si>
  <x:si>
    <x:t xml:space="preserve">Kameda Y; Kato M; Inoue B; Yamazaki S; Sahara N; Aoki T; Nagashima Y; Nemoto N; Anzai H; Araki W; Kobayashi N</x:t>
  </x:si>
  <x:si>
    <x:t xml:space="preserve">Kyobu geka. The Japanese journal of thoracic surgery</x:t>
  </x:si>
  <x:si>
    <x:t xml:space="preserve">31268032</x:t>
  </x:si>
  <x:si>
    <x:t xml:space="preserve">https://pubmed.ncbi.nlm.nih.gov/31268032/</x:t>
  </x:si>
  <x:si>
    <x:t xml:space="preserve">SCR_000179</x:t>
  </x:si>
  <x:si>
    <x:t xml:space="preserve">Ketoacidosis related to sodium glucose cotransporter 2 inhibitors after emergency coronary surgery.</x:t>
  </x:si>
  <x:si>
    <x:t xml:space="preserve">Sodium glucose cotransporter 2 inhibitors are currently widely used antihyperglycaemic medications that are considered to be associated with euglycaemic diabetic ketoacidosis. We report 2 cases of patients who received sodium glucose cotransporter 2 inhibitors until emergency coronary artery bypass grafting (CABG) and developed euglycaemic ketoacidosis after surgery; they were treated with sugar replenishment and insulin infusion. In one case, coronary angiography revealed a spastic change of the bypass graft possibly due to severe acidosis. A rapid diagnosis and proper intervention are crucial to achieve better outcomes with CABG.</x:t>
  </x:si>
  <x:si>
    <x:t xml:space="preserve">Horikoshi R; Kitamura T; Miyaji K</x:t>
  </x:si>
  <x:si>
    <x:t xml:space="preserve">10.1093/icvts/ivz091</x:t>
  </x:si>
  <x:si>
    <x:t xml:space="preserve">30968118</x:t>
  </x:si>
  <x:si>
    <x:t xml:space="preserve">https://pubmed.ncbi.nlm.nih.gov/30968118/</x:t>
  </x:si>
  <x:si>
    <x:t xml:space="preserve">SCR_000180</x:t>
  </x:si>
  <x:si>
    <x:t xml:space="preserve">Innovative Strategies in Heart Failure: Present and Future.</x:t>
  </x:si>
  <x:si>
    <x:t xml:space="preserve">Heart failure (HF) is a progressively debilitating disease that considerably decreases the life expectancy and quality of life. It has become an important area of focus since it remains one of the most common reasons for admission in patients over the age of 65. Importantly, the incidence of HF has not declined within the past 20 years, but the survival after onset has increased in younger patients and men. This has been in part due to the growing interest in therapies that may decrease morbidity, mortality, along with the substantial health care expenditures associated with the disease. It can be said that over the past 50 years, there have been three distinct eras relating to HF management; a) the non-pharmacologic era, focused its treatments on fluid restriction; b) the pharmacologic era, marked by the increased use of inotropes and diuretics and the discovery of vasodilators, and the posterior discovery of medications relating to neurohormonal pathways; c) the device era, with the discovery, acceptance, and increased use of implantable cardioverter defibrillators, cardiac resynchronization therapy (CRT), and left ventricular assist devices (LVADs) among others. A new forth era could be about to arrive, with the advent of regenerative therapies. In this review article will discuss new therapeutic discoveries as well as provide insight into future therapies.</x:t>
  </x:si>
  <x:si>
    <x:t xml:space="preserve">Rodríguez-Mañero M; Grigorian-Shamagian L; Rábago G; Abou-Jokh C; Álvarez B; Brion M; González-Juanatey JR</x:t>
  </x:si>
  <x:si>
    <x:t xml:space="preserve">Archives of medical research</x:t>
  </x:si>
  <x:si>
    <x:t xml:space="preserve">10.1016/j.arcmed.2018.12.011</x:t>
  </x:si>
  <x:si>
    <x:t xml:space="preserve">30606503</x:t>
  </x:si>
  <x:si>
    <x:t xml:space="preserve">https://pubmed.ncbi.nlm.nih.gov/30606503/</x:t>
  </x:si>
  <x:si>
    <x:t xml:space="preserve">SCR_000181</x:t>
  </x:si>
  <x:si>
    <x:t xml:space="preserve">Type-2 diabetes mellitus and cardiovascular disease.</x:t>
  </x:si>
  <x:si>
    <x:t xml:space="preserve">The global prevalence of diabetes has risen in adults from 4.7% in 1980 to 8.5% in 2014. 90-95% of adults with diabetes have Type 2 diabetes (T2D). This paper focuses on the diagnosis and treatment of T2D patients who have or are at risk for cardiovascular disease. Hyperglycemia, insulin resistance and excess fatty acids increase oxidative stress, disrupt protein kinase C signaling and increase advanced glycation end-products that result in vascular inflammation, vasoconstriction, thrombosis and atherogenesis. Intensive T2D treatment produces a ≥10% risk reduction in major macrovascular and microvascular events. Glucose-lowering therapies must be individualized. Metformin is an optimal drug for monotherapy. If hemoglobin A1c is not at goal, a sodium-glucose cotransporter-2 inhibitor or a dipeptidyl peptidase-4 inhibitor should be considered for therapy with metformin. Coronary angioplasty/stenting is recommended for diabetic patients with acute myocardial infarctions. Coronary artery bypass grafting is recommended for symptomatic diabetic patients with multivessel disease.</x:t>
  </x:si>
  <x:si>
    <x:t xml:space="preserve">Henning RJ</x:t>
  </x:si>
  <x:si>
    <x:t xml:space="preserve">Future cardiology</x:t>
  </x:si>
  <x:si>
    <x:t xml:space="preserve">10.2217/fca-2018-0045</x:t>
  </x:si>
  <x:si>
    <x:t xml:space="preserve">30409037</x:t>
  </x:si>
  <x:si>
    <x:t xml:space="preserve">Journal Article; Research Support, Non-U.S. Gov't; Review</x:t>
  </x:si>
  <x:si>
    <x:t xml:space="preserve">https://pubmed.ncbi.nlm.nih.gov/30409037/</x:t>
  </x:si>
  <x:si>
    <x:t xml:space="preserve">SCR_000182</x:t>
  </x:si>
  <x:si>
    <x:t xml:space="preserve">Advances in Clinical Cardiology 2017: A Summary of Key Clinical Trials.</x:t>
  </x:si>
  <x:si>
    <x:t xml:space="preserve">INTRODUCTION: Numerous important cardiology clinical trials have been published or presented at major international meetings during 2017. This paper aims to summarize these trials and place them in clinical context. METHODS: The authors reviewed clinical trials presented at major cardiology conferences during 2017 including the American College of Cardiology, European Association for Percutaneous Cardiovascular Interventions, European Society of Cardiology, European Association for the Study of Diabetes, Transcatheter Cardiovascular Therapeutics, and the American Heart Association. Selection criteria were trials with a broad relevance to the cardiology community and those with potential to change current practice. RESULTS: A total of 75 key cardiology clinical trials were identified for inclusion. New interventional and structural cardiology data include left main bifurcation treatment strategy, multivessel disease management in cardiogenic shock, drug-eluting balloons for in-stent restenosis, instantaneous wave-free physiological assessment, new-generation stents (COMBO, Orsiro), transcatheter aortic valve implantation, and closure devices. New preventative cardiology data include trials of liraglutide, empagliflozin, PCSK9 inhibitors (evolocumab and bococizumab), inclisiran, and anacetrapib. Antiplatelet data include the role of uninterrupted aspirin therapy during non-cardiac surgery and dual antiplatelet therapy following coronary artery bypass grafting. New data are also included from fields of heart failure (levosimendan, spironolactone), atrial fibrillation (apixaban in DC cardioversion), cardiac devices (closed loop stimulation pacing for neuromediated syncope), and electrophysiology (catheter ablation for atrial fibrillation). CONCLUSION: This paper presents a summary of key clinical cardiology trials during the past year and should be of practical value to both clinicians and cardiology researchers.</x:t>
  </x:si>
  <x:si>
    <x:t xml:space="preserve">McQuillan C; Gray A; Kearney A; Menown IBA</x:t>
  </x:si>
  <x:si>
    <x:t xml:space="preserve">Advances in therapy</x:t>
  </x:si>
  <x:si>
    <x:t xml:space="preserve">10.1007/s12325-018-0716-y</x:t>
  </x:si>
  <x:si>
    <x:t xml:space="preserve">29949039</x:t>
  </x:si>
  <x:si>
    <x:t xml:space="preserve">https://pubmed.ncbi.nlm.nih.gov/29949039/</x:t>
  </x:si>
  <x:si>
    <x:t xml:space="preserve">SCR_000183</x:t>
  </x:si>
  <x:si>
    <x:t xml:space="preserve">Perioperative implications of sodium-glucose cotransporter-2 inhibitors: a case series of euglycemic diabetic ketoacidosis in three patients after cardiac surgery.</x:t>
  </x:si>
  <x:si>
    <x:t xml:space="preserve">PURPOSE: Sodium-glucose cotransporter-2 inhibitors (SGLT2i) comprise the newest class of oral hypoglycemic agents approved for treating type II diabetes mellitus (DM-II). Their use, however, has been associated with the rare development of euglycemic diabetic ketoacidosis (euDKA). We present three cases of euDKA that occurred following elective coronary artery bypass grafting surgery. The role of the anesthesiologist in the prevention, diagnosis, and management of this complication is also discussed. CLINICAL FEATURES: Three patients receiving chronic SGLT2i therapy for DM-II (discontinued one to two days preoperatively) underwent cardiac surgery. On the first postoperative day, each exhibited nausea, vomiting, and tachypnea. Although these nonspecific postoperative findings are common, our patients also exhibited anion gap metabolic acidosis (pH &lt; 7.3, anion gap &gt; 12 mmol·L-1) with lower than anticipated serum glucose levels of &lt; 14 mmol·L-1. Serum and urine ketone analyses confirmed a diagnosis of euDKA. After insulin and dextrose infusions were initiated, rapid resolution of the metabolic abnormalities occured. CONCLUSIONS: Anesthesiologists should recognize that patients receiving SGLT2i preoperatively are at risk of developing euDKA. Hence, based on the pharmacokinetics of SGLT2i, discontinuing the medication at least two days prior to surgery should minimize the risk. Diagnosing euDKA is challenging and often delayed because of its nonspecific signs and symptoms. When suspected, serum and urine ketones should be monitored to reduce the time to diagnosis and treatment.</x:t>
  </x:si>
  <x:si>
    <x:t xml:space="preserve">Lau A; Bruce S; Wang E; Ree R; Rondi K; Chau A</x:t>
  </x:si>
  <x:si>
    <x:t xml:space="preserve">Canadian journal of anaesthesia = Journal canadien d'anesthesie</x:t>
  </x:si>
  <x:si>
    <x:t xml:space="preserve">10.1007/s12630-017-1018-6</x:t>
  </x:si>
  <x:si>
    <x:t xml:space="preserve">29168157</x:t>
  </x:si>
  <x:si>
    <x:t xml:space="preserve">https://pubmed.ncbi.nlm.nih.gov/29168157/</x:t>
  </x:si>
  <x:si>
    <x:t xml:space="preserve">SCR_000184</x:t>
  </x:si>
  <x:si>
    <x:t xml:space="preserve">Effects of dapagliflozin on human epicardial adipose tissue: modulation of insulin resistance, inflammatory chemokine production, and differentiation ability.</x:t>
  </x:si>
  <x:si>
    <x:t xml:space="preserve">AIMS: In patients with cardiovascular disease, epicardial adipose tissue (EAT) is characterized by insulin resistance, high pro-inflammatory chemokines, and low differentiation ability. As dapagliflozin reduces body fat and cardiovascular events in diabetic patients, we would like to know its effect on EAT and subcutaneous adipose tissue (SAT). METHODS AND RESULTS: Adipose samples were obtained from 52 patients undergoing heart surgery. Sodium-glucose cotransporter 2 (SGLT2) expression was determined by real-time polymerase chain reaction (n = 20), western blot, and immunohistochemistry. Fat explants (n = 21) were treated with dapagliflozin and/or insulin and glucose transporters expression measured. Glucose, free fatty acid, and adipokine levels (by array) were measured in the EAT secretomes, which were then tested on human coronary endothelial cells using wound healing assays. Glucose uptake was also measured using the fluorescent glucose analogue (6NBDG) in differentiated stromal vascular cells (SVCs) from the fat pads (n = 11). Finally, dapagliflozin-induced adipocyte differentiation was assessed from the levels of fat droplets (AdipoRed staining) and of perilipin. SGLT2 was expressed in EAT. Dapagliflozin increased glucose uptake (20.95 ± 4.4 mg/dL vs. 12.97 ± 4.1 mg/dL; P &lt; 0.001) and glucose transporter type 4 (2.09 ± 0.3 fold change; P &lt; 0.01) in EAT. Moreover, dapagliflozin reduced the secretion levels of chemokines and benefited wound healing in endothelial cells (0.21 ± 0.05 vs. 0.38 ± 0.08 open wound; P &lt; 0.05). Finally, chronic treatment with dapagliflozin improved the differentiation of SVC, confirmed by AdipoRed staining [539 ± 142 arbitrary units (a.u.) vs. 473 ± 136 a.u.; P &lt; 0.01] and perilipin expression levels (121 ± 10 vs. 84 ± 11 a.u.). CONCLUSIONS: Dapagliflozin increased glucose uptake, reduced the secretion of pro-inflammatory chemokines (with a beneficial effect on the healing of human coronary artery endothelial cells), and improved the differentiation of EAT cells. These results suggest a new protective pathway for this drug on EAT from patients with cardiovascular disease.</x:t>
  </x:si>
  <x:si>
    <x:t xml:space="preserve">Díaz-Rodríguez E; Agra RM; Fernández ÁL; Adrio B; García-Caballero T; González-Juanatey JR; Eiras S</x:t>
  </x:si>
  <x:si>
    <x:t xml:space="preserve">10.1093/cvr/cvx186</x:t>
  </x:si>
  <x:si>
    <x:t xml:space="preserve">29016744</x:t>
  </x:si>
  <x:si>
    <x:t xml:space="preserve">https://pubmed.ncbi.nlm.nih.gov/29016744/</x:t>
  </x:si>
  <x:si>
    <x:t xml:space="preserve">SCR_000185</x:t>
  </x:si>
  <x:si>
    <x:t xml:space="preserve">Coronary Artery Disease and Type 2 Diabetes Mellitus.</x:t>
  </x:si>
  <x:si>
    <x:t xml:space="preserve">Type 2 diabetes mellitus (T2DM) is a major risk factor of coronary artery diseases (CAD). Clinical outcomes in CAD with T2DM are poor despite improvement in medications and intervention devices. Coronary artery bypass grafting (CABG) is superior to percutaneous coronary intervention (PCI) in treating diabetic patients with multivessel coronary artery diseases (MVD). However, selecting a revascularization strategy should depend not only on the lesion complexity but also on the patient's background and comorbidities. In addition, comprehensive risk management with medical and non-pharmacological therapies is important, as is confirmation of whether risk managements are appropriately achieved. Recently, novel anti-diabetic drugs have been demonstrated to have effectiveness in reducing cardiovascular events, which was independent of their glucose-lowering effect. Furthermore, non-pharmacological interventions using exercise and diet during the earlier stages of abnormal glucose metabolism might be beneficial in preventing the development or progression of T2DM and reducing the incidence of cardiovascular events.</x:t>
  </x:si>
  <x:si>
    <x:t xml:space="preserve">Naito R; Miyauchi K</x:t>
  </x:si>
  <x:si>
    <x:t xml:space="preserve">2017</x:t>
  </x:si>
  <x:si>
    <x:t xml:space="preserve">International heart journal</x:t>
  </x:si>
  <x:si>
    <x:t xml:space="preserve">10.1536/ihj.17-191</x:t>
  </x:si>
  <x:si>
    <x:t xml:space="preserve">28717115</x:t>
  </x:si>
  <x:si>
    <x:t xml:space="preserve">https://pubmed.ncbi.nlm.nih.gov/28717115/</x:t>
  </x:si>
  <x:si>
    <x:t xml:space="preserve">SCR_000186</x:t>
  </x:si>
  <x:si>
    <x:t xml:space="preserve">Empagliflozin in the management of diabetes mellitus after cardiac transplantationResearch Correspondenceretain--&gt;.</x:t>
  </x:si>
  <x:si>
    <x:t xml:space="preserve">Muir CA; Greenfield JR; MacDonald PS</x:t>
  </x:si>
  <x:si>
    <x:t xml:space="preserve">10.1016/j.healun.2017.05.005</x:t>
  </x:si>
  <x:si>
    <x:t xml:space="preserve">28601371</x:t>
  </x:si>
  <x:si>
    <x:t xml:space="preserve">https://pubmed.ncbi.nlm.nih.gov/28601371/</x:t>
  </x:si>
  <x:si>
    <x:t xml:space="preserve">Reviewer: Reviewer 2. Select Include, Exclude, or Unclear. When Exclude is selected, record one exclusion reason.</x:t>
  </x:si>
  <x:si>
    <x:t xml:space="preserve">Effects of SGLT2 Inhibitors in Patients Undergoing Cardiac Surgery — Reviewer Agreement and Conflict Resolution</x:t>
  </x:si>
  <x:si>
    <x:t xml:space="preserve">reviewer_1_decision</x:t>
  </x:si>
  <x:si>
    <x:t xml:space="preserve">reviewer_2_decision</x:t>
  </x:si>
  <x:si>
    <x:t xml:space="preserve">agreement_status</x:t>
  </x:si>
  <x:si>
    <x:t xml:space="preserve">conflict_status</x:t>
  </x:si>
  <x:si>
    <x:t xml:space="preserve">final_decision</x:t>
  </x:si>
  <x:si>
    <x:t xml:space="preserve">final_exclusion_reason</x:t>
  </x:si>
  <x:si>
    <x:t xml:space="preserve">adjudicator</x:t>
  </x:si>
  <x:si>
    <x:t xml:space="preserve">resolution_notes</x:t>
  </x:si>
  <x:si>
    <x:t xml:space="preserve">resolved_at</x:t>
  </x:si>
  <x:si>
    <x:t xml:space="preserve">Third Reviewer</x:t>
  </x:si>
  <x:si>
    <x:t xml:space="preserve">SGLT2i_Cardiac_Surgery_SRMA — Search Source Summary</x:t>
  </x:si>
  <x:si>
    <x:t xml:space="preserve">record_count</x:t>
  </x:si>
  <x:si>
    <x:t xml:space="preserve">Total unique records</x:t>
  </x:si>
  <x:si>
    <x:t xml:space="preserve">decisions</x:t>
  </x:si>
  <x:si>
    <x:t xml:space="preserve">exclusion_reasons</x:t>
  </x:si>
  <x:si>
    <x:t xml:space="preserve">final_decisions</x:t>
  </x:si>
  <x:si>
    <x:t xml:space="preserve">Include</x:t>
  </x:si>
  <x:si>
    <x:t xml:space="preserve">Not cardiac surgery</x:t>
  </x:si>
  <x:si>
    <x:t xml:space="preserve">High</x:t>
  </x:si>
  <x:si>
    <x:t xml:space="preserve">Exclude</x:t>
  </x:si>
  <x:si>
    <x:t xml:space="preserve">No SGLT2 inhibitor exposure</x:t>
  </x:si>
  <x:si>
    <x:t xml:space="preserve">Moderate</x:t>
  </x:si>
  <x:si>
    <x:t xml:space="preserve">Unclear</x:t>
  </x:si>
  <x:si>
    <x:t xml:space="preserve">Wrong population</x:t>
  </x:si>
  <x:si>
    <x:t xml:space="preserve">Awaiting full-text clarification</x:t>
  </x:si>
  <x:si>
    <x:t xml:space="preserve">Low</x:t>
  </x:si>
  <x:si>
    <x:t xml:space="preserve">Wrong comparator</x:t>
  </x:si>
  <x:si>
    <x:t xml:space="preserve">Wrong study design</x:t>
  </x:si>
  <x:si>
    <x:t xml:space="preserve">No relevant clinical outcome</x:t>
  </x:si>
  <x:si>
    <x:t xml:space="preserve">Animal or laboratory study</x:t>
  </x:si>
  <x:si>
    <x:t xml:space="preserve">Protocol, editorial, commentary, or review</x:t>
  </x:si>
  <x:si>
    <x:t xml:space="preserve">Duplicate or secondary publication</x:t>
  </x:si>
  <x:si>
    <x:t xml:space="preserve">Conference abstract with insufficient information</x:t>
  </x:si>
  <x:si>
    <x:t xml:space="preserve">Other</x:t>
  </x:si>
</x:sst>
</file>

<file path=xl/styles.xml><?xml version="1.0" encoding="utf-8"?>
<x:styleSheet xmlns:x="http://schemas.openxmlformats.org/spreadsheetml/2006/main">
  <x:fonts count="6">
    <x:font>
      <x:sz val="11"/>
      <x:color rgb="FF000000"/>
      <x:name val="Calibri"/>
    </x:font>
    <x:font>
      <x:b/>
      <x:sz val="16"/>
      <x:color rgb="FF000000"/>
      <x:name val="Calibri"/>
    </x:font>
    <x:font>
      <x:b/>
      <x:sz val="11"/>
      <x:color rgb="FF000000"/>
      <x:name val="Calibri"/>
    </x:font>
    <x:font>
      <x:sz val="11"/>
      <x:color rgb="FF000000"/>
      <x:name val="Calibri"/>
    </x:font>
    <x:font>
      <x:i/>
      <x:sz val="10"/>
      <x:color rgb="FF000000"/>
      <x:name val="Calibri"/>
    </x:font>
    <x:font>
      <x:b/>
      <x:sz val="16"/>
      <x:color rgb="FFFFFFFF"/>
      <x:name val="Calibri"/>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3">
    <x:border/>
    <x:border>
      <x:left style="thin">
        <x:color rgb="FF000000"/>
      </x:left>
      <x:right style="thin">
        <x:color rgb="FF000000"/>
      </x:right>
      <x:top style="thin">
        <x:color rgb="FF000000"/>
      </x:top>
      <x:bottom style="thin">
        <x:color rgb="FF000000"/>
      </x:bottom>
    </x:border>
    <x:border/>
  </x:borders>
  <x:cellStyleXfs count="1">
    <x:xf numFmtId="0" fontId="0" fillId="0" borderId="0"/>
  </x:cellStyleXfs>
  <x:cellXfs count="27">
    <x:xf numFmtId="0" fontId="0" fillId="0" borderId="0" xfId="0"/>
    <x:xf numFmtId="0" fontId="1" fillId="0" borderId="0" xfId="0" applyFont="1" applyAlignment="1">
      <x:alignment horizontal="left" vertical="center"/>
    </x:xf>
    <x:xf numFmtId="0" fontId="2" fillId="0" borderId="1" xfId="0" applyFont="1" applyBorder="1" applyAlignment="1">
      <x:alignment horizontal="center" vertical="center" wrapText="1"/>
    </x:xf>
    <x:xf numFmtId="0" fontId="3" fillId="0" borderId="1" xfId="0" applyFont="1" applyBorder="1" applyAlignment="1">
      <x:alignment vertical="top" wrapText="1"/>
    </x:xf>
    <x:xf numFmtId="0" fontId="4" fillId="0" borderId="0" xfId="0" applyFont="1" applyAlignment="1">
      <x:alignment vertical="top" wrapText="1"/>
    </x:xf>
    <x:xf numFmtId="0" fontId="0" fillId="0" borderId="2" xfId="0" applyNumberFormat="1" applyFont="1" applyFill="1" applyBorder="1"/>
    <x:xf numFmtId="0" fontId="1" fillId="0" borderId="2" xfId="0" applyNumberFormat="1" applyFont="1" applyFill="1" applyBorder="1" applyAlignment="1">
      <x:alignment horizontal="left" vertical="center"/>
    </x:xf>
    <x:xf numFmtId="0" fontId="2" fillId="0" borderId="1" xfId="0" applyNumberFormat="1" applyFont="1" applyFill="1" applyBorder="1" applyAlignment="1">
      <x:alignment horizontal="center" vertical="center" wrapText="1"/>
    </x:xf>
    <x:xf numFmtId="0" fontId="0"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0"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0" fillId="2" borderId="2" xfId="0" applyNumberFormat="1" applyFont="1" applyFill="1" applyBorder="1"/>
    <x:xf numFmtId="0" fontId="5" fillId="2" borderId="2" xfId="0" applyNumberFormat="1" applyFont="1" applyFill="1" applyBorder="1"/>
    <x:xf numFmtId="0" fontId="5" fillId="2" borderId="2" xfId="0" applyNumberFormat="1" applyFont="1" applyFill="1" applyBorder="1" applyAlignment="1">
      <x:alignment horizontal="center"/>
    </x:xf>
    <x:xf numFmtId="0" fontId="5" fillId="2" borderId="2"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2" xfId="0" applyNumberFormat="1" applyFont="1" applyFill="1" applyBorder="1"/>
    <x:xf numFmtId="0" fontId="2" fillId="3" borderId="2"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horizontal="center" vertical="center" wrapText="1"/>
    </x:xf>
  </x:cellXfs>
  <x:cellStyles count="1">
    <x:cellStyle name="Normal" xfId="0"/>
  </x:cellStyles>
  <x:dxfs count="4">
    <x:dxf>
      <x:font>
        <x:b/>
        <x:sz val="11"/>
        <x:color rgb="FF000000"/>
        <x:name val="Calibri"/>
      </x:font>
    </x:dxf>
    <x:dxf>
      <x:font>
        <x:b/>
      </x:font>
      <x:fill>
        <x:patternFill patternType="solid">
          <x:bgColor rgb="FFE2F0D9"/>
        </x:patternFill>
      </x:fill>
    </x:dxf>
    <x:dxf>
      <x:font>
        <x:b/>
      </x:font>
      <x:fill>
        <x:patternFill patternType="solid">
          <x:bgColor rgb="FFFCE4D6"/>
        </x:patternFill>
      </x:fill>
    </x:dxf>
    <x:dxf>
      <x:font>
        <x:b/>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209feee3224b8d" /><Relationship Type="http://schemas.openxmlformats.org/officeDocument/2006/relationships/theme" Target="/xl/theme/theme1.xml" Id="R7f13068920bc453c" /><Relationship Type="http://schemas.openxmlformats.org/officeDocument/2006/relationships/sharedStrings" Target="/xl/sharedStrings.xml" Id="R1748e68d6fd5439d" /><Relationship Type="http://schemas.openxmlformats.org/officeDocument/2006/relationships/worksheet" Target="/xl/worksheets/sheet1.xml" Id="R9223cc1b826040dd" /><Relationship Type="http://schemas.openxmlformats.org/officeDocument/2006/relationships/worksheet" Target="/xl/worksheets/sheet2.xml" Id="R8953a614d37c40aa" /><Relationship Type="http://schemas.openxmlformats.org/officeDocument/2006/relationships/worksheet" Target="/xl/worksheets/sheet3.xml" Id="R41caf4529cb44153" /><Relationship Type="http://schemas.openxmlformats.org/officeDocument/2006/relationships/worksheet" Target="/xl/worksheets/sheet4.xml" Id="R6a296f0bed544927" /><Relationship Type="http://schemas.openxmlformats.org/officeDocument/2006/relationships/worksheet" Target="/xl/worksheets/sheet5.xml" Id="R50e7e3503f604602" /><Relationship Type="http://schemas.openxmlformats.org/officeDocument/2006/relationships/worksheet" Target="/xl/worksheets/sheet6.xml" Id="R929c7a7f30a948fd" /><Relationship Type="http://schemas.openxmlformats.org/officeDocument/2006/relationships/worksheet" Target="/xl/worksheets/sheet7.xml" Id="R6a44115958b04b4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RowHeight="15"/>
  <x:cols>
    <x:col min="1" max="1" width="24.709999084472656" hidden="0" customWidth="1"/>
    <x:col min="2" max="2" width="100.70999908447266" hidden="0" customWidth="1"/>
  </x:cols>
  <x:sheetData>
    <x:row r="1">
      <x:c r="A1" s="1" t="s">
        <x:v>0</x:v>
      </x:c>
      <x:c r="B1" s="1"/>
    </x:row>
    <x:row r="3">
      <x:c r="A3" s="2" t="s">
        <x:v>1</x:v>
      </x:c>
      <x:c r="B3" s="2" t="s">
        <x:v>2</x:v>
      </x:c>
    </x:row>
    <x:row r="4">
      <x:c r="A4" s="3" t="s">
        <x:v>3</x:v>
      </x:c>
      <x:c r="B4" s="3" t="s">
        <x:v>4</x:v>
      </x:c>
    </x:row>
    <x:row r="5">
      <x:c r="A5" s="3" t="s">
        <x:v>5</x:v>
      </x:c>
      <x:c r="B5" s="3" t="s">
        <x:v>6</x:v>
      </x:c>
    </x:row>
    <x:row r="6">
      <x:c r="A6" s="3" t="s">
        <x:v>7</x:v>
      </x:c>
      <x:c r="B6" s="3" t="s">
        <x:v>8</x:v>
      </x:c>
    </x:row>
    <x:row r="7">
      <x:c r="A7" s="3" t="s">
        <x:v>9</x:v>
      </x:c>
      <x:c r="B7" s="3" t="s">
        <x:v>10</x:v>
      </x:c>
    </x:row>
    <x:row r="8">
      <x:c r="A8" s="3" t="s">
        <x:v>11</x:v>
      </x:c>
      <x:c r="B8" s="3" t="s">
        <x:v>11</x:v>
      </x:c>
    </x:row>
    <x:row r="9">
      <x:c r="A9" s="3" t="s">
        <x:v>12</x:v>
      </x:c>
      <x:c r="B9" s="3" t="s">
        <x:v>12</x:v>
      </x:c>
    </x:row>
    <x:row r="10">
      <x:c r="A10" s="3" t="s">
        <x:v>13</x:v>
      </x:c>
      <x:c r="B10" s="3" t="s">
        <x:v>14</x:v>
      </x:c>
    </x:row>
    <x:row r="11">
      <x:c r="A11" s="3" t="s">
        <x:v>15</x:v>
      </x:c>
      <x:c r="B11" s="3" t="s">
        <x:v>16</x:v>
      </x:c>
    </x:row>
    <x:row r="12">
      <x:c r="A12" s="3" t="s">
        <x:v>17</x:v>
      </x:c>
      <x:c r="B12" s="3" t="s">
        <x:v>18</x:v>
      </x:c>
    </x:row>
    <x:row r="13">
      <x:c r="A13" s="3" t="s">
        <x:v>19</x:v>
      </x:c>
      <x:c r="B13" s="3" t="s">
        <x:v>20</x:v>
      </x:c>
    </x:row>
    <x:row r="14">
      <x:c r="A14" s="3" t="s">
        <x:v>21</x:v>
      </x:c>
      <x:c r="B14" s="3" t="s">
        <x:v>22</x:v>
      </x:c>
    </x:row>
    <x:row r="15">
      <x:c r="A15" s="3" t="s">
        <x:v>23</x:v>
      </x:c>
      <x:c r="B15" s="3" t="s">
        <x:v>24</x:v>
      </x:c>
    </x:row>
    <x:row r="16">
      <x:c r="A16" s="3" t="s">
        <x:v>25</x:v>
      </x:c>
      <x:c r="B16" s="3" t="s">
        <x:v>26</x:v>
      </x:c>
    </x:row>
    <x:row r="17">
      <x:c r="A17" s="3" t="s">
        <x:v>27</x:v>
      </x:c>
      <x:c r="B17" s="3" t="s">
        <x:v>28</x:v>
      </x:c>
    </x:row>
    <x:row r="18">
      <x:c r="A18" s="3" t="s">
        <x:v>29</x:v>
      </x:c>
      <x:c r="B18" s="3" t="s">
        <x:v>30</x:v>
      </x:c>
    </x:row>
    <x:row r="19">
      <x:c r="A19" s="3" t="s">
        <x:v>31</x:v>
      </x:c>
      <x:c r="B19" s="3" t="s">
        <x:v>32</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RowHeight="15"/>
  <x:cols>
    <x:col min="1" max="1" width="14.710000038146973" hidden="0" customWidth="1"/>
    <x:col min="2" max="2" width="20.709999084472656" hidden="0" customWidth="1"/>
    <x:col min="3" max="3" width="65.70999908447266" hidden="0" customWidth="1"/>
    <x:col min="4" max="4" width="100.70999908447266" hidden="0" customWidth="1"/>
    <x:col min="5" max="5" width="32.709999084472656" hidden="0" customWidth="1"/>
    <x:col min="6" max="6" width="16.709999084472656" hidden="0" customWidth="1"/>
    <x:col min="7" max="7" width="16.709999084472656" hidden="0" customWidth="1"/>
    <x:col min="8" max="8" width="16.709999084472656" hidden="0" customWidth="1"/>
    <x:col min="9" max="9" width="16.709999084472656" hidden="0" customWidth="1"/>
    <x:col min="10" max="10" width="16.709999084472656" hidden="0" customWidth="1"/>
    <x:col min="11" max="11" width="16.709999084472656" hidden="0" customWidth="1"/>
    <x:col min="12" max="12" width="16.709999084472656" hidden="0" customWidth="1"/>
    <x:col min="13" max="13" width="22.709999084472656" hidden="0" customWidth="1"/>
    <x:col min="14" max="14" width="22.709999084472656" hidden="0" customWidth="1"/>
    <x:col min="15" max="15" width="22.709999084472656" hidden="0" customWidth="1"/>
    <x:col min="16" max="16" width="22.709999084472656" hidden="0" customWidth="1"/>
    <x:col min="17" max="17" width="22.709999084472656" hidden="0" customWidth="1"/>
    <x:col min="18" max="18" width="22.709999084472656" hidden="0" customWidth="1"/>
  </x:cols>
  <x:sheetData>
    <x:row r="1">
      <x:c r="A1" s="1" t="s">
        <x:v>33</x:v>
      </x:c>
      <x:c r="B1" s="1"/>
      <x:c r="C1" s="1"/>
      <x:c r="D1" s="1"/>
      <x:c r="E1" s="1"/>
      <x:c r="F1" s="1"/>
      <x:c r="G1" s="1"/>
      <x:c r="H1" s="1"/>
      <x:c r="I1" s="1"/>
      <x:c r="J1" s="1"/>
      <x:c r="K1" s="1"/>
      <x:c r="L1" s="1"/>
      <x:c r="M1" s="1"/>
      <x:c r="N1" s="1"/>
      <x:c r="O1" s="1"/>
      <x:c r="P1" s="1"/>
      <x:c r="Q1" s="1"/>
      <x:c r="R1" s="1"/>
    </x:row>
    <x:row r="2">
      <x:c r="A2" s="4" t="s">
        <x:v>34</x:v>
      </x:c>
      <x:c r="B2" s="4"/>
      <x:c r="C2" s="4"/>
      <x:c r="D2" s="4"/>
      <x:c r="E2" s="4"/>
      <x:c r="F2" s="4"/>
      <x:c r="G2" s="4"/>
      <x:c r="H2" s="4"/>
      <x:c r="I2" s="4"/>
      <x:c r="J2" s="4"/>
      <x:c r="K2" s="4"/>
      <x:c r="L2" s="4"/>
      <x:c r="M2" s="4"/>
      <x:c r="N2" s="4"/>
      <x:c r="O2" s="4"/>
      <x:c r="P2" s="4"/>
      <x:c r="Q2" s="4"/>
      <x:c r="R2" s="4"/>
    </x:row>
    <x:row r="4">
      <x:c r="A4" s="2" t="s">
        <x:v>35</x:v>
      </x:c>
      <x:c r="B4" s="2" t="s">
        <x:v>36</x:v>
      </x:c>
      <x:c r="C4" s="2" t="s">
        <x:v>37</x:v>
      </x:c>
      <x:c r="D4" s="2" t="s">
        <x:v>38</x:v>
      </x:c>
      <x:c r="E4" s="2" t="s">
        <x:v>39</x:v>
      </x:c>
      <x:c r="F4" s="2" t="s">
        <x:v>40</x:v>
      </x:c>
      <x:c r="G4" s="2" t="s">
        <x:v>41</x:v>
      </x:c>
      <x:c r="H4" s="2" t="s">
        <x:v>42</x:v>
      </x:c>
      <x:c r="I4" s="2" t="s">
        <x:v>43</x:v>
      </x:c>
      <x:c r="J4" s="2" t="s">
        <x:v>44</x:v>
      </x:c>
      <x:c r="K4" s="2" t="s">
        <x:v>45</x:v>
      </x:c>
      <x:c r="L4" s="2" t="s">
        <x:v>46</x:v>
      </x:c>
      <x:c r="M4" s="26" t="s">
        <x:v>47</x:v>
      </x:c>
      <x:c r="N4" s="26" t="s">
        <x:v>48</x:v>
      </x:c>
      <x:c r="O4" s="26" t="s">
        <x:v>49</x:v>
      </x:c>
      <x:c r="P4" s="26" t="s">
        <x:v>50</x:v>
      </x:c>
      <x:c r="Q4" s="26" t="s">
        <x:v>51</x:v>
      </x:c>
      <x:c r="R4" s="26" t="s">
        <x:v>52</x:v>
      </x:c>
    </x:row>
    <x:row r="5" ht="70" customHeight="1">
      <x:c r="A5" s="3" t="s">
        <x:v>53</x:v>
      </x:c>
      <x:c r="B5" s="3" t="s">
        <x:v>54</x:v>
      </x:c>
      <x:c r="C5" s="3" t="s">
        <x:v>55</x:v>
      </x:c>
      <x:c r="D5" s="3" t="s">
        <x:v>56</x:v>
      </x:c>
      <x:c r="E5" s="3" t="s">
        <x:v>57</x:v>
      </x:c>
      <x:c r="F5" s="3" t="s">
        <x:v>58</x:v>
      </x:c>
      <x:c r="G5" s="3" t="s">
        <x:v>59</x:v>
      </x:c>
      <x:c r="H5" s="3" t="s">
        <x:v>60</x:v>
      </x:c>
      <x:c r="I5" s="3" t="s">
        <x:v>61</x:v>
      </x:c>
      <x:c r="J5" s="3" t="s">
        <x:v>62</x:v>
      </x:c>
      <x:c r="K5" s="3" t="s">
        <x:v>63</x:v>
      </x:c>
      <x:c r="L5" s="3" t="s">
        <x:v>64</x:v>
      </x:c>
      <x:c r="M5" s="8" t="str">
        <x:v>Agent Reviewer 1</x:v>
      </x:c>
      <x:c r="N5" s="8" t="str">
        <x:v>Exclude</x:v>
      </x:c>
      <x:c r="O5" s="8" t="str">
        <x:v>Protocol, editorial, commentary, or review</x:v>
      </x:c>
      <x:c r="P5" s="8" t="str">
        <x:v>High</x:v>
      </x:c>
      <x:c r="Q5" s="8" t="str">
        <x:v>Secondary review/meta-analysis rather than an eligible primary study.</x:v>
      </x:c>
      <x:c r="R5" s="8" t="str">
        <x:v>2026-08-02 12:36 KST</x:v>
      </x:c>
    </x:row>
    <x:row r="6" ht="70" customHeight="1">
      <x:c r="A6" s="3" t="s">
        <x:v>65</x:v>
      </x:c>
      <x:c r="B6" s="3" t="s">
        <x:v>66</x:v>
      </x:c>
      <x:c r="C6" s="3" t="s">
        <x:v>67</x:v>
      </x:c>
      <x:c r="D6" s="3" t="s">
        <x:v>68</x:v>
      </x:c>
      <x:c r="E6" s="3" t="s">
        <x:v>69</x:v>
      </x:c>
      <x:c r="F6" s="3" t="s">
        <x:v>70</x:v>
      </x:c>
      <x:c r="G6" s="3" t="s">
        <x:v>71</x:v>
      </x:c>
      <x:c r="H6" s="3" t="s">
        <x:v>72</x:v>
      </x:c>
      <x:c r="I6" s="3" t="s">
        <x:v>73</x:v>
      </x:c>
      <x:c r="J6" s="3" t="s">
        <x:v>74</x:v>
      </x:c>
      <x:c r="K6" s="3" t="s">
        <x:v>75</x:v>
      </x:c>
      <x:c r="L6" s="3" t="s">
        <x:v>76</x:v>
      </x:c>
      <x:c r="M6" s="8" t="str">
        <x:v>Agent Reviewer 1</x:v>
      </x:c>
      <x:c r="N6" s="8" t="str">
        <x:v>Include</x:v>
      </x:c>
      <x:c r="O6" s="8" t="str"/>
      <x:c r="P6" s="8" t="str">
        <x:v>High</x:v>
      </x:c>
      <x:c r="Q6" s="8" t="str">
        <x:v>Potentially eligible primary human study directly evaluating SGLT2 inhibitor exposure or intervention in a cardiac-surgery population.</x:v>
      </x:c>
      <x:c r="R6" s="8" t="str">
        <x:v>2026-08-02 12:36 KST</x:v>
      </x:c>
    </x:row>
    <x:row r="7" ht="70" customHeight="1">
      <x:c r="A7" s="3" t="s">
        <x:v>77</x:v>
      </x:c>
      <x:c r="B7" s="3" t="s">
        <x:v>66</x:v>
      </x:c>
      <x:c r="C7" s="3" t="s">
        <x:v>78</x:v>
      </x:c>
      <x:c r="D7" s="3" t="s">
        <x:v>79</x:v>
      </x:c>
      <x:c r="E7" s="3" t="s">
        <x:v>80</x:v>
      </x:c>
      <x:c r="F7" s="3" t="s">
        <x:v>81</x:v>
      </x:c>
      <x:c r="G7" s="3" t="s">
        <x:v>82</x:v>
      </x:c>
      <x:c r="H7" s="3" t="s">
        <x:v>83</x:v>
      </x:c>
      <x:c r="I7" s="3" t="s">
        <x:v>84</x:v>
      </x:c>
      <x:c r="J7" s="3" t="s">
        <x:v>85</x:v>
      </x:c>
      <x:c r="K7" s="3" t="s">
        <x:v>86</x:v>
      </x:c>
      <x:c r="L7" s="3" t="s">
        <x:v>87</x:v>
      </x:c>
      <x:c r="M7" s="8" t="str">
        <x:v>Agent Reviewer 1</x:v>
      </x:c>
      <x:c r="N7" s="8" t="str">
        <x:v>Exclude</x:v>
      </x:c>
      <x:c r="O7" s="8" t="str">
        <x:v>Protocol, editorial, commentary, or review</x:v>
      </x:c>
      <x:c r="P7" s="8" t="str">
        <x:v>High</x:v>
      </x:c>
      <x:c r="Q7" s="8" t="str">
        <x:v>Secondary review/meta-analysis rather than an eligible primary study.</x:v>
      </x:c>
      <x:c r="R7" s="8" t="str">
        <x:v>2026-08-02 12:36 KST</x:v>
      </x:c>
    </x:row>
    <x:row r="8" ht="70" customHeight="1">
      <x:c r="A8" s="3" t="s">
        <x:v>88</x:v>
      </x:c>
      <x:c r="B8" s="3" t="s">
        <x:v>66</x:v>
      </x:c>
      <x:c r="C8" s="3" t="s">
        <x:v>89</x:v>
      </x:c>
      <x:c r="D8" s="3" t="s">
        <x:v>90</x:v>
      </x:c>
      <x:c r="E8" s="3" t="s">
        <x:v>91</x:v>
      </x:c>
      <x:c r="F8" s="3" t="s">
        <x:v>92</x:v>
      </x:c>
      <x:c r="G8" s="3" t="s">
        <x:v>93</x:v>
      </x:c>
      <x:c r="H8" s="3" t="s">
        <x:v>94</x:v>
      </x:c>
      <x:c r="I8" s="3" t="s">
        <x:v>95</x:v>
      </x:c>
      <x:c r="J8" s="3" t="s">
        <x:v>96</x:v>
      </x:c>
      <x:c r="K8" s="3" t="s">
        <x:v>75</x:v>
      </x:c>
      <x:c r="L8" s="3" t="s">
        <x:v>97</x:v>
      </x:c>
      <x:c r="M8" s="8" t="str">
        <x:v>Agent Reviewer 1</x:v>
      </x:c>
      <x:c r="N8" s="8" t="str">
        <x:v>Include</x:v>
      </x:c>
      <x:c r="O8" s="8" t="str"/>
      <x:c r="P8" s="8" t="str">
        <x:v>High</x:v>
      </x:c>
      <x:c r="Q8" s="8" t="str">
        <x:v>Potentially eligible primary human study directly evaluating SGLT2 inhibitor exposure or intervention in a cardiac-surgery population.</x:v>
      </x:c>
      <x:c r="R8" s="8" t="str">
        <x:v>2026-08-02 12:36 KST</x:v>
      </x:c>
    </x:row>
    <x:row r="9" ht="70" customHeight="1">
      <x:c r="A9" s="3" t="s">
        <x:v>98</x:v>
      </x:c>
      <x:c r="B9" s="3" t="s">
        <x:v>66</x:v>
      </x:c>
      <x:c r="C9" s="3" t="s">
        <x:v>99</x:v>
      </x:c>
      <x:c r="D9" s="3" t="s">
        <x:v>100</x:v>
      </x:c>
      <x:c r="E9" s="3" t="s">
        <x:v>101</x:v>
      </x:c>
      <x:c r="F9" s="3" t="s">
        <x:v>58</x:v>
      </x:c>
      <x:c r="G9" s="3" t="s">
        <x:v>102</x:v>
      </x:c>
      <x:c r="H9" s="3" t="s">
        <x:v>103</x:v>
      </x:c>
      <x:c r="I9" s="3" t="s">
        <x:v>104</x:v>
      </x:c>
      <x:c r="J9" s="3" t="s">
        <x:v>105</x:v>
      </x:c>
      <x:c r="K9" s="3" t="s">
        <x:v>75</x:v>
      </x:c>
      <x:c r="L9" s="3" t="s">
        <x:v>106</x:v>
      </x:c>
      <x:c r="M9" s="8" t="str">
        <x:v>Agent Reviewer 1</x:v>
      </x:c>
      <x:c r="N9" s="8" t="str">
        <x:v>Exclude</x:v>
      </x:c>
      <x:c r="O9" s="8" t="str">
        <x:v>Protocol, editorial, commentary, or review</x:v>
      </x:c>
      <x:c r="P9" s="8" t="str">
        <x:v>High</x:v>
      </x:c>
      <x:c r="Q9" s="8" t="str">
        <x:v>Protocol, registry, editorial, commentary, or letter without eligible completed primary outcomes.</x:v>
      </x:c>
      <x:c r="R9" s="8" t="str">
        <x:v>2026-08-02 12:36 KST</x:v>
      </x:c>
    </x:row>
    <x:row r="10" ht="70" customHeight="1">
      <x:c r="A10" s="3" t="s">
        <x:v>107</x:v>
      </x:c>
      <x:c r="B10" s="3" t="s">
        <x:v>66</x:v>
      </x:c>
      <x:c r="C10" s="3" t="s">
        <x:v>108</x:v>
      </x:c>
      <x:c r="D10" s="3" t="s">
        <x:v>109</x:v>
      </x:c>
      <x:c r="E10" s="3" t="s">
        <x:v>110</x:v>
      </x:c>
      <x:c r="F10" s="3" t="s">
        <x:v>70</x:v>
      </x:c>
      <x:c r="G10" s="3" t="s">
        <x:v>111</x:v>
      </x:c>
      <x:c r="H10" s="3" t="s">
        <x:v>112</x:v>
      </x:c>
      <x:c r="I10" s="3" t="s">
        <x:v>113</x:v>
      </x:c>
      <x:c r="J10" s="3" t="s">
        <x:v>114</x:v>
      </x:c>
      <x:c r="K10" s="3" t="s">
        <x:v>75</x:v>
      </x:c>
      <x:c r="L10" s="3" t="s">
        <x:v>115</x:v>
      </x:c>
      <x:c r="M10" s="8" t="str">
        <x:v>Agent Reviewer 1</x:v>
      </x:c>
      <x:c r="N10" s="8" t="str">
        <x:v>Exclude</x:v>
      </x:c>
      <x:c r="O10" s="8" t="str">
        <x:v>Not cardiac surgery</x:v>
      </x:c>
      <x:c r="P10" s="8" t="str">
        <x:v>High</x:v>
      </x:c>
      <x:c r="Q10" s="8" t="str">
        <x:v>Transcatheter intervention rather than open cardiac surgery.</x:v>
      </x:c>
      <x:c r="R10" s="8" t="str">
        <x:v>2026-08-02 12:36 KST</x:v>
      </x:c>
    </x:row>
    <x:row r="11" ht="70" customHeight="1">
      <x:c r="A11" s="3" t="s">
        <x:v>116</x:v>
      </x:c>
      <x:c r="B11" s="3" t="s">
        <x:v>66</x:v>
      </x:c>
      <x:c r="C11" s="3" t="s">
        <x:v>117</x:v>
      </x:c>
      <x:c r="D11" s="3" t="s">
        <x:v>118</x:v>
      </x:c>
      <x:c r="E11" s="3" t="s">
        <x:v>119</x:v>
      </x:c>
      <x:c r="F11" s="3" t="s">
        <x:v>58</x:v>
      </x:c>
      <x:c r="G11" s="3" t="s">
        <x:v>102</x:v>
      </x:c>
      <x:c r="H11" s="3" t="s">
        <x:v>120</x:v>
      </x:c>
      <x:c r="I11" s="3" t="s">
        <x:v>121</x:v>
      </x:c>
      <x:c r="J11" s="3" t="s">
        <x:v>105</x:v>
      </x:c>
      <x:c r="K11" s="3" t="s">
        <x:v>75</x:v>
      </x:c>
      <x:c r="L11" s="3" t="s">
        <x:v>122</x:v>
      </x:c>
      <x:c r="M11" s="8" t="str">
        <x:v>Agent Reviewer 1</x:v>
      </x:c>
      <x:c r="N11" s="8" t="str">
        <x:v>Exclude</x:v>
      </x:c>
      <x:c r="O11" s="8" t="str">
        <x:v>Protocol, editorial, commentary, or review</x:v>
      </x:c>
      <x:c r="P11" s="8" t="str">
        <x:v>High</x:v>
      </x:c>
      <x:c r="Q11" s="8" t="str">
        <x:v>Protocol, registry, editorial, commentary, or letter without eligible completed primary outcomes.</x:v>
      </x:c>
      <x:c r="R11" s="8" t="str">
        <x:v>2026-08-02 12:36 KST</x:v>
      </x:c>
    </x:row>
    <x:row r="12" ht="70" customHeight="1">
      <x:c r="A12" s="3" t="s">
        <x:v>123</x:v>
      </x:c>
      <x:c r="B12" s="3" t="s">
        <x:v>66</x:v>
      </x:c>
      <x:c r="C12" s="3" t="s">
        <x:v>124</x:v>
      </x:c>
      <x:c r="D12" s="3" t="s">
        <x:v>125</x:v>
      </x:c>
      <x:c r="E12" s="3" t="s">
        <x:v>126</x:v>
      </x:c>
      <x:c r="F12" s="3" t="s">
        <x:v>92</x:v>
      </x:c>
      <x:c r="G12" s="3" t="s">
        <x:v>127</x:v>
      </x:c>
      <x:c r="H12" s="3" t="s">
        <x:v>128</x:v>
      </x:c>
      <x:c r="I12" s="3" t="s">
        <x:v>129</x:v>
      </x:c>
      <x:c r="J12" s="3" t="s">
        <x:v>130</x:v>
      </x:c>
      <x:c r="K12" s="3" t="s">
        <x:v>75</x:v>
      </x:c>
      <x:c r="L12" s="3" t="s">
        <x:v>131</x:v>
      </x:c>
      <x:c r="M12" s="8" t="str">
        <x:v>Agent Reviewer 1</x:v>
      </x:c>
      <x:c r="N12" s="8" t="str">
        <x:v>Exclude</x:v>
      </x:c>
      <x:c r="O12" s="8" t="str">
        <x:v>No relevant clinical outcome</x:v>
      </x:c>
      <x:c r="P12" s="8" t="str">
        <x:v>Moderate</x:v>
      </x:c>
      <x:c r="Q12" s="8" t="str">
        <x:v>Cardiac-surgery context is present, but the study does not evaluate eligible clinical effects of SGLT2 inhibitor exposure.</x:v>
      </x:c>
      <x:c r="R12" s="8" t="str">
        <x:v>2026-08-02 12:36 KST</x:v>
      </x:c>
    </x:row>
    <x:row r="13" ht="70" customHeight="1">
      <x:c r="A13" s="3" t="s">
        <x:v>132</x:v>
      </x:c>
      <x:c r="B13" s="3" t="s">
        <x:v>66</x:v>
      </x:c>
      <x:c r="C13" s="3" t="s">
        <x:v>133</x:v>
      </x:c>
      <x:c r="D13" s="3" t="s">
        <x:v>134</x:v>
      </x:c>
      <x:c r="E13" s="3" t="s">
        <x:v>135</x:v>
      </x:c>
      <x:c r="F13" s="3" t="s">
        <x:v>70</x:v>
      </x:c>
      <x:c r="G13" s="3" t="s">
        <x:v>136</x:v>
      </x:c>
      <x:c r="H13" s="3" t="s">
        <x:v>137</x:v>
      </x:c>
      <x:c r="I13" s="3" t="s">
        <x:v>138</x:v>
      </x:c>
      <x:c r="J13" s="3" t="s">
        <x:v>139</x:v>
      </x:c>
      <x:c r="K13" s="3" t="s">
        <x:v>75</x:v>
      </x:c>
      <x:c r="L13" s="3" t="s">
        <x:v>140</x:v>
      </x:c>
      <x:c r="M13" s="8" t="str">
        <x:v>Agent Reviewer 1</x:v>
      </x:c>
      <x:c r="N13" s="8" t="str">
        <x:v>Exclude</x:v>
      </x:c>
      <x:c r="O13" s="8" t="str">
        <x:v>Not cardiac surgery</x:v>
      </x:c>
      <x:c r="P13" s="8" t="str">
        <x:v>High</x:v>
      </x:c>
      <x:c r="Q13" s="8" t="str">
        <x:v>Transcatheter intervention rather than open cardiac surgery.</x:v>
      </x:c>
      <x:c r="R13" s="8" t="str">
        <x:v>2026-08-02 12:36 KST</x:v>
      </x:c>
    </x:row>
    <x:row r="14" ht="70" customHeight="1">
      <x:c r="A14" s="3" t="s">
        <x:v>141</x:v>
      </x:c>
      <x:c r="B14" s="3" t="s">
        <x:v>66</x:v>
      </x:c>
      <x:c r="C14" s="3" t="s">
        <x:v>142</x:v>
      </x:c>
      <x:c r="D14" s="3" t="s">
        <x:v>143</x:v>
      </x:c>
      <x:c r="E14" s="3" t="s">
        <x:v>144</x:v>
      </x:c>
      <x:c r="F14" s="3" t="s">
        <x:v>58</x:v>
      </x:c>
      <x:c r="G14" s="3" t="s">
        <x:v>145</x:v>
      </x:c>
      <x:c r="H14" s="3" t="s">
        <x:v>146</x:v>
      </x:c>
      <x:c r="I14" s="3" t="s">
        <x:v>147</x:v>
      </x:c>
      <x:c r="J14" s="3" t="s">
        <x:v>148</x:v>
      </x:c>
      <x:c r="K14" s="3" t="s">
        <x:v>75</x:v>
      </x:c>
      <x:c r="L14" s="3" t="s">
        <x:v>149</x:v>
      </x:c>
      <x:c r="M14" s="8" t="str">
        <x:v>Agent Reviewer 1</x:v>
      </x:c>
      <x:c r="N14" s="8" t="str">
        <x:v>Exclude</x:v>
      </x:c>
      <x:c r="O14" s="8" t="str">
        <x:v>Wrong population</x:v>
      </x:c>
      <x:c r="P14" s="8" t="str">
        <x:v>High</x:v>
      </x:c>
      <x:c r="Q14" s="8" t="str">
        <x:v>Prior revascularization history rather than a current cardiac-surgery cohort.</x:v>
      </x:c>
      <x:c r="R14" s="8" t="str">
        <x:v>2026-08-02 12:36 KST</x:v>
      </x:c>
    </x:row>
    <x:row r="15" ht="70" customHeight="1">
      <x:c r="A15" s="3" t="s">
        <x:v>150</x:v>
      </x:c>
      <x:c r="B15" s="3" t="s">
        <x:v>66</x:v>
      </x:c>
      <x:c r="C15" s="3" t="s">
        <x:v>151</x:v>
      </x:c>
      <x:c r="D15" s="3" t="s">
        <x:v>152</x:v>
      </x:c>
      <x:c r="E15" s="3" t="s">
        <x:v>153</x:v>
      </x:c>
      <x:c r="F15" s="3" t="s">
        <x:v>70</x:v>
      </x:c>
      <x:c r="G15" s="3" t="s">
        <x:v>154</x:v>
      </x:c>
      <x:c r="H15" s="3" t="s">
        <x:v>155</x:v>
      </x:c>
      <x:c r="I15" s="3" t="s">
        <x:v>156</x:v>
      </x:c>
      <x:c r="J15" s="3" t="s">
        <x:v>157</x:v>
      </x:c>
      <x:c r="K15" s="3" t="s">
        <x:v>75</x:v>
      </x:c>
      <x:c r="L15" s="3" t="s">
        <x:v>158</x:v>
      </x:c>
      <x:c r="M15" s="8" t="str">
        <x:v>Agent Reviewer 1</x:v>
      </x:c>
      <x:c r="N15" s="8" t="str">
        <x:v>Include</x:v>
      </x:c>
      <x:c r="O15" s="8" t="str"/>
      <x:c r="P15" s="8" t="str">
        <x:v>High</x:v>
      </x:c>
      <x:c r="Q15" s="8" t="str">
        <x:v>Potentially eligible primary human study directly evaluating SGLT2 inhibitor exposure or intervention in a cardiac-surgery population.</x:v>
      </x:c>
      <x:c r="R15" s="8" t="str">
        <x:v>2026-08-02 12:36 KST</x:v>
      </x:c>
    </x:row>
    <x:row r="16" ht="70" customHeight="1">
      <x:c r="A16" s="3" t="s">
        <x:v>159</x:v>
      </x:c>
      <x:c r="B16" s="3" t="s">
        <x:v>66</x:v>
      </x:c>
      <x:c r="C16" s="3" t="s">
        <x:v>160</x:v>
      </x:c>
      <x:c r="D16" s="3" t="s">
        <x:v>161</x:v>
      </x:c>
      <x:c r="E16" s="3" t="s">
        <x:v>162</x:v>
      </x:c>
      <x:c r="F16" s="3" t="s">
        <x:v>163</x:v>
      </x:c>
      <x:c r="G16" s="3" t="s">
        <x:v>164</x:v>
      </x:c>
      <x:c r="H16" s="3" t="s">
        <x:v>165</x:v>
      </x:c>
      <x:c r="I16" s="3" t="s">
        <x:v>166</x:v>
      </x:c>
      <x:c r="J16" s="3" t="s">
        <x:v>167</x:v>
      </x:c>
      <x:c r="K16" s="3" t="s">
        <x:v>75</x:v>
      </x:c>
      <x:c r="L16" s="3" t="s">
        <x:v>168</x:v>
      </x:c>
      <x:c r="M16" s="8" t="str">
        <x:v>Agent Reviewer 1</x:v>
      </x:c>
      <x:c r="N16" s="8" t="str">
        <x:v>Unclear</x:v>
      </x:c>
      <x:c r="O16" s="8" t="str"/>
      <x:c r="P16" s="8" t="str">
        <x:v>Moderate</x:v>
      </x:c>
      <x:c r="Q16" s="8" t="str">
        <x:v>Potential relevance, but timing, surgical-population definition, or primary-study eligibility requires human full-text review.</x:v>
      </x:c>
      <x:c r="R16" s="8" t="str">
        <x:v>2026-08-02 12:36 KST</x:v>
      </x:c>
    </x:row>
    <x:row r="17" ht="70" customHeight="1">
      <x:c r="A17" s="3" t="s">
        <x:v>169</x:v>
      </x:c>
      <x:c r="B17" s="3" t="s">
        <x:v>54</x:v>
      </x:c>
      <x:c r="C17" s="3" t="s">
        <x:v>170</x:v>
      </x:c>
      <x:c r="D17" s="3" t="s">
        <x:v>171</x:v>
      </x:c>
      <x:c r="E17" s="3" t="s">
        <x:v>172</x:v>
      </x:c>
      <x:c r="F17" s="3" t="s">
        <x:v>58</x:v>
      </x:c>
      <x:c r="G17" s="3" t="s">
        <x:v>173</x:v>
      </x:c>
      <x:c r="H17" s="3" t="s">
        <x:v>174</x:v>
      </x:c>
      <x:c r="I17" s="3" t="s">
        <x:v>175</x:v>
      </x:c>
      <x:c r="J17" s="3" t="s">
        <x:v>176</x:v>
      </x:c>
      <x:c r="K17" s="3" t="s">
        <x:v>63</x:v>
      </x:c>
      <x:c r="L17" s="3" t="s">
        <x:v>177</x:v>
      </x:c>
      <x:c r="M17" s="8" t="str">
        <x:v>Agent Reviewer 1</x:v>
      </x:c>
      <x:c r="N17" s="8" t="str">
        <x:v>Exclude</x:v>
      </x:c>
      <x:c r="O17" s="8" t="str">
        <x:v>Animal or laboratory study</x:v>
      </x:c>
      <x:c r="P17" s="8" t="str">
        <x:v>High</x:v>
      </x:c>
      <x:c r="Q17" s="8" t="str">
        <x:v>Animal, ex vivo, or mechanistic laboratory study without eligible clinical surgical outcomes.</x:v>
      </x:c>
      <x:c r="R17" s="8" t="str">
        <x:v>2026-08-02 12:36 KST</x:v>
      </x:c>
    </x:row>
    <x:row r="18" ht="70" customHeight="1">
      <x:c r="A18" s="3" t="s">
        <x:v>178</x:v>
      </x:c>
      <x:c r="B18" s="3" t="s">
        <x:v>66</x:v>
      </x:c>
      <x:c r="C18" s="3" t="s">
        <x:v>179</x:v>
      </x:c>
      <x:c r="D18" s="3" t="s">
        <x:v>180</x:v>
      </x:c>
      <x:c r="E18" s="3" t="s">
        <x:v>181</x:v>
      </x:c>
      <x:c r="F18" s="3" t="s">
        <x:v>182</x:v>
      </x:c>
      <x:c r="G18" s="3" t="s">
        <x:v>183</x:v>
      </x:c>
      <x:c r="H18" s="3" t="s">
        <x:v>184</x:v>
      </x:c>
      <x:c r="I18" s="3" t="s">
        <x:v>185</x:v>
      </x:c>
      <x:c r="J18" s="3" t="s">
        <x:v>186</x:v>
      </x:c>
      <x:c r="K18" s="3" t="s">
        <x:v>75</x:v>
      </x:c>
      <x:c r="L18" s="3" t="s">
        <x:v>187</x:v>
      </x:c>
      <x:c r="M18" s="8" t="str">
        <x:v>Agent Reviewer 1</x:v>
      </x:c>
      <x:c r="N18" s="8" t="str">
        <x:v>Exclude</x:v>
      </x:c>
      <x:c r="O18" s="8" t="str">
        <x:v>Protocol, editorial, commentary, or review</x:v>
      </x:c>
      <x:c r="P18" s="8" t="str">
        <x:v>High</x:v>
      </x:c>
      <x:c r="Q18" s="8" t="str">
        <x:v>Protocol, registry, editorial, commentary, or letter without eligible completed primary outcomes.</x:v>
      </x:c>
      <x:c r="R18" s="8" t="str">
        <x:v>2026-08-02 12:36 KST</x:v>
      </x:c>
    </x:row>
    <x:row r="19" ht="70" customHeight="1">
      <x:c r="A19" s="3" t="s">
        <x:v>188</x:v>
      </x:c>
      <x:c r="B19" s="3" t="s">
        <x:v>66</x:v>
      </x:c>
      <x:c r="C19" s="3" t="s">
        <x:v>189</x:v>
      </x:c>
      <x:c r="D19" s="3" t="s">
        <x:v>190</x:v>
      </x:c>
      <x:c r="E19" s="3" t="s">
        <x:v>191</x:v>
      </x:c>
      <x:c r="F19" s="3" t="s">
        <x:v>182</x:v>
      </x:c>
      <x:c r="G19" s="3" t="s">
        <x:v>192</x:v>
      </x:c>
      <x:c r="H19" s="3" t="s">
        <x:v>193</x:v>
      </x:c>
      <x:c r="I19" s="3" t="s">
        <x:v>194</x:v>
      </x:c>
      <x:c r="J19" s="3" t="s">
        <x:v>148</x:v>
      </x:c>
      <x:c r="K19" s="3" t="s">
        <x:v>75</x:v>
      </x:c>
      <x:c r="L19" s="3" t="s">
        <x:v>195</x:v>
      </x:c>
      <x:c r="M19" s="8" t="str">
        <x:v>Agent Reviewer 1</x:v>
      </x:c>
      <x:c r="N19" s="8" t="str">
        <x:v>Exclude</x:v>
      </x:c>
      <x:c r="O19" s="8" t="str">
        <x:v>Protocol, editorial, commentary, or review</x:v>
      </x:c>
      <x:c r="P19" s="8" t="str">
        <x:v>High</x:v>
      </x:c>
      <x:c r="Q19" s="8" t="str">
        <x:v>Protocol, registry, editorial, commentary, or letter without eligible completed primary outcomes.</x:v>
      </x:c>
      <x:c r="R19" s="8" t="str">
        <x:v>2026-08-02 12:36 KST</x:v>
      </x:c>
    </x:row>
    <x:row r="20" ht="70" customHeight="1">
      <x:c r="A20" s="3" t="s">
        <x:v>196</x:v>
      </x:c>
      <x:c r="B20" s="3" t="s">
        <x:v>66</x:v>
      </x:c>
      <x:c r="C20" s="3" t="s">
        <x:v>197</x:v>
      </x:c>
      <x:c r="D20" s="3" t="s">
        <x:v>198</x:v>
      </x:c>
      <x:c r="E20" s="3" t="s">
        <x:v>199</x:v>
      </x:c>
      <x:c r="F20" s="3" t="s">
        <x:v>182</x:v>
      </x:c>
      <x:c r="G20" s="3" t="s">
        <x:v>200</x:v>
      </x:c>
      <x:c r="H20" s="3" t="s">
        <x:v>201</x:v>
      </x:c>
      <x:c r="I20" s="3" t="s">
        <x:v>202</x:v>
      </x:c>
      <x:c r="J20" s="3" t="s">
        <x:v>167</x:v>
      </x:c>
      <x:c r="K20" s="3" t="s">
        <x:v>75</x:v>
      </x:c>
      <x:c r="L20" s="3" t="s">
        <x:v>203</x:v>
      </x:c>
      <x:c r="M20" s="8" t="str">
        <x:v>Agent Reviewer 1</x:v>
      </x:c>
      <x:c r="N20" s="8" t="str">
        <x:v>Include</x:v>
      </x:c>
      <x:c r="O20" s="8" t="str"/>
      <x:c r="P20" s="8" t="str">
        <x:v>High</x:v>
      </x:c>
      <x:c r="Q20" s="8" t="str">
        <x:v>Potentially eligible primary human study directly evaluating SGLT2 inhibitor exposure or intervention in a cardiac-surgery population.</x:v>
      </x:c>
      <x:c r="R20" s="8" t="str">
        <x:v>2026-08-02 12:36 KST</x:v>
      </x:c>
    </x:row>
    <x:row r="21" ht="70" customHeight="1">
      <x:c r="A21" s="3" t="s">
        <x:v>204</x:v>
      </x:c>
      <x:c r="B21" s="3" t="s">
        <x:v>66</x:v>
      </x:c>
      <x:c r="C21" s="3" t="s">
        <x:v>205</x:v>
      </x:c>
      <x:c r="D21" s="3" t="s">
        <x:v>206</x:v>
      </x:c>
      <x:c r="E21" s="3" t="s">
        <x:v>207</x:v>
      </x:c>
      <x:c r="F21" s="3" t="s">
        <x:v>58</x:v>
      </x:c>
      <x:c r="G21" s="3" t="s">
        <x:v>208</x:v>
      </x:c>
      <x:c r="H21" s="3" t="s">
        <x:v>209</x:v>
      </x:c>
      <x:c r="I21" s="3" t="s">
        <x:v>210</x:v>
      </x:c>
      <x:c r="J21" s="3" t="s">
        <x:v>105</x:v>
      </x:c>
      <x:c r="K21" s="3" t="s">
        <x:v>75</x:v>
      </x:c>
      <x:c r="L21" s="3" t="s">
        <x:v>211</x:v>
      </x:c>
      <x:c r="M21" s="8" t="str">
        <x:v>Agent Reviewer 1</x:v>
      </x:c>
      <x:c r="N21" s="8" t="str">
        <x:v>Exclude</x:v>
      </x:c>
      <x:c r="O21" s="8" t="str">
        <x:v>Protocol, editorial, commentary, or review</x:v>
      </x:c>
      <x:c r="P21" s="8" t="str">
        <x:v>High</x:v>
      </x:c>
      <x:c r="Q21" s="8" t="str">
        <x:v>Protocol, registry, editorial, commentary, or letter without eligible completed primary outcomes.</x:v>
      </x:c>
      <x:c r="R21" s="8" t="str">
        <x:v>2026-08-02 12:36 KST</x:v>
      </x:c>
    </x:row>
    <x:row r="22" ht="70" customHeight="1">
      <x:c r="A22" s="3" t="s">
        <x:v>212</x:v>
      </x:c>
      <x:c r="B22" s="3" t="s">
        <x:v>66</x:v>
      </x:c>
      <x:c r="C22" s="3" t="s">
        <x:v>213</x:v>
      </x:c>
      <x:c r="D22" s="3" t="s">
        <x:v>214</x:v>
      </x:c>
      <x:c r="E22" s="3" t="s">
        <x:v>215</x:v>
      </x:c>
      <x:c r="F22" s="3" t="s">
        <x:v>81</x:v>
      </x:c>
      <x:c r="G22" s="3" t="s">
        <x:v>216</x:v>
      </x:c>
      <x:c r="H22" s="3" t="s">
        <x:v>217</x:v>
      </x:c>
      <x:c r="I22" s="3" t="s">
        <x:v>218</x:v>
      </x:c>
      <x:c r="J22" s="3" t="s">
        <x:v>219</x:v>
      </x:c>
      <x:c r="K22" s="3" t="s">
        <x:v>75</x:v>
      </x:c>
      <x:c r="L22" s="3" t="s">
        <x:v>220</x:v>
      </x:c>
      <x:c r="M22" s="8" t="str">
        <x:v>Agent Reviewer 1</x:v>
      </x:c>
      <x:c r="N22" s="8" t="str">
        <x:v>Exclude</x:v>
      </x:c>
      <x:c r="O22" s="8" t="str">
        <x:v>Protocol, editorial, commentary, or review</x:v>
      </x:c>
      <x:c r="P22" s="8" t="str">
        <x:v>High</x:v>
      </x:c>
      <x:c r="Q22" s="8" t="str">
        <x:v>Protocol, registry, editorial, commentary, or letter without eligible completed primary outcomes.</x:v>
      </x:c>
      <x:c r="R22" s="8" t="str">
        <x:v>2026-08-02 12:36 KST</x:v>
      </x:c>
    </x:row>
    <x:row r="23" ht="70" customHeight="1">
      <x:c r="A23" s="3" t="s">
        <x:v>221</x:v>
      </x:c>
      <x:c r="B23" s="3" t="s">
        <x:v>66</x:v>
      </x:c>
      <x:c r="C23" s="3" t="s">
        <x:v>222</x:v>
      </x:c>
      <x:c r="D23" s="3" t="s">
        <x:v>223</x:v>
      </x:c>
      <x:c r="E23" s="3" t="s">
        <x:v>224</x:v>
      </x:c>
      <x:c r="F23" s="3" t="s">
        <x:v>81</x:v>
      </x:c>
      <x:c r="G23" s="3" t="s">
        <x:v>225</x:v>
      </x:c>
      <x:c r="H23" s="3" t="s">
        <x:v>226</x:v>
      </x:c>
      <x:c r="I23" s="3" t="s">
        <x:v>227</x:v>
      </x:c>
      <x:c r="J23" s="3" t="s">
        <x:v>105</x:v>
      </x:c>
      <x:c r="K23" s="3" t="s">
        <x:v>75</x:v>
      </x:c>
      <x:c r="L23" s="3" t="s">
        <x:v>228</x:v>
      </x:c>
      <x:c r="M23" s="8" t="str">
        <x:v>Agent Reviewer 1</x:v>
      </x:c>
      <x:c r="N23" s="8" t="str">
        <x:v>Exclude</x:v>
      </x:c>
      <x:c r="O23" s="8" t="str">
        <x:v>Protocol, editorial, commentary, or review</x:v>
      </x:c>
      <x:c r="P23" s="8" t="str">
        <x:v>High</x:v>
      </x:c>
      <x:c r="Q23" s="8" t="str">
        <x:v>Protocol, registry, editorial, commentary, or letter without eligible completed primary outcomes.</x:v>
      </x:c>
      <x:c r="R23" s="8" t="str">
        <x:v>2026-08-02 12:36 KST</x:v>
      </x:c>
    </x:row>
    <x:row r="24" ht="70" customHeight="1">
      <x:c r="A24" s="3" t="s">
        <x:v>229</x:v>
      </x:c>
      <x:c r="B24" s="3" t="s">
        <x:v>66</x:v>
      </x:c>
      <x:c r="C24" s="3" t="s">
        <x:v>230</x:v>
      </x:c>
      <x:c r="D24" s="3" t="s">
        <x:v>231</x:v>
      </x:c>
      <x:c r="E24" s="3" t="s">
        <x:v>232</x:v>
      </x:c>
      <x:c r="F24" s="3" t="s">
        <x:v>182</x:v>
      </x:c>
      <x:c r="G24" s="3" t="s">
        <x:v>233</x:v>
      </x:c>
      <x:c r="H24" s="3" t="s">
        <x:v>234</x:v>
      </x:c>
      <x:c r="I24" s="3" t="s">
        <x:v>235</x:v>
      </x:c>
      <x:c r="J24" s="3" t="s">
        <x:v>236</x:v>
      </x:c>
      <x:c r="K24" s="3" t="s">
        <x:v>75</x:v>
      </x:c>
      <x:c r="L24" s="3" t="s">
        <x:v>237</x:v>
      </x:c>
      <x:c r="M24" s="8" t="str">
        <x:v>Agent Reviewer 1</x:v>
      </x:c>
      <x:c r="N24" s="8" t="str">
        <x:v>Unclear</x:v>
      </x:c>
      <x:c r="O24" s="8" t="str"/>
      <x:c r="P24" s="8" t="str">
        <x:v>Moderate</x:v>
      </x:c>
      <x:c r="Q24" s="8" t="str">
        <x:v>Potential relevance, but timing, surgical-population definition, or primary-study eligibility requires human full-text review.</x:v>
      </x:c>
      <x:c r="R24" s="8" t="str">
        <x:v>2026-08-02 12:36 KST</x:v>
      </x:c>
    </x:row>
    <x:row r="25" ht="70" customHeight="1">
      <x:c r="A25" s="3" t="s">
        <x:v>238</x:v>
      </x:c>
      <x:c r="B25" s="3" t="s">
        <x:v>66</x:v>
      </x:c>
      <x:c r="C25" s="3" t="s">
        <x:v>239</x:v>
      </x:c>
      <x:c r="D25" s="3" t="s">
        <x:v>240</x:v>
      </x:c>
      <x:c r="E25" s="3" t="s">
        <x:v>241</x:v>
      </x:c>
      <x:c r="F25" s="3" t="s">
        <x:v>92</x:v>
      </x:c>
      <x:c r="G25" s="3" t="s">
        <x:v>208</x:v>
      </x:c>
      <x:c r="H25" s="3" t="s">
        <x:v>242</x:v>
      </x:c>
      <x:c r="I25" s="3" t="s">
        <x:v>243</x:v>
      </x:c>
      <x:c r="J25" s="3" t="s">
        <x:v>186</x:v>
      </x:c>
      <x:c r="K25" s="3" t="s">
        <x:v>75</x:v>
      </x:c>
      <x:c r="L25" s="3" t="s">
        <x:v>244</x:v>
      </x:c>
      <x:c r="M25" s="8" t="str">
        <x:v>Agent Reviewer 1</x:v>
      </x:c>
      <x:c r="N25" s="8" t="str">
        <x:v>Exclude</x:v>
      </x:c>
      <x:c r="O25" s="8" t="str">
        <x:v>Protocol, editorial, commentary, or review</x:v>
      </x:c>
      <x:c r="P25" s="8" t="str">
        <x:v>High</x:v>
      </x:c>
      <x:c r="Q25" s="8" t="str">
        <x:v>Protocol, registry, editorial, commentary, or letter without eligible completed primary outcomes.</x:v>
      </x:c>
      <x:c r="R25" s="8" t="str">
        <x:v>2026-08-02 12:36 KST</x:v>
      </x:c>
    </x:row>
    <x:row r="26" ht="70" customHeight="1">
      <x:c r="A26" s="3" t="s">
        <x:v>245</x:v>
      </x:c>
      <x:c r="B26" s="3" t="s">
        <x:v>66</x:v>
      </x:c>
      <x:c r="C26" s="3" t="s">
        <x:v>246</x:v>
      </x:c>
      <x:c r="D26" s="3" t="s">
        <x:v>247</x:v>
      </x:c>
      <x:c r="E26" s="3" t="s">
        <x:v>248</x:v>
      </x:c>
      <x:c r="F26" s="3" t="s">
        <x:v>70</x:v>
      </x:c>
      <x:c r="G26" s="3" t="s">
        <x:v>208</x:v>
      </x:c>
      <x:c r="H26" s="3" t="s">
        <x:v>249</x:v>
      </x:c>
      <x:c r="I26" s="3" t="s">
        <x:v>250</x:v>
      </x:c>
      <x:c r="J26" s="3" t="s">
        <x:v>105</x:v>
      </x:c>
      <x:c r="K26" s="3" t="s">
        <x:v>75</x:v>
      </x:c>
      <x:c r="L26" s="3" t="s">
        <x:v>251</x:v>
      </x:c>
      <x:c r="M26" s="8" t="str">
        <x:v>Agent Reviewer 1</x:v>
      </x:c>
      <x:c r="N26" s="8" t="str">
        <x:v>Exclude</x:v>
      </x:c>
      <x:c r="O26" s="8" t="str">
        <x:v>Protocol, editorial, commentary, or review</x:v>
      </x:c>
      <x:c r="P26" s="8" t="str">
        <x:v>High</x:v>
      </x:c>
      <x:c r="Q26" s="8" t="str">
        <x:v>Protocol, registry, editorial, commentary, or letter without eligible completed primary outcomes.</x:v>
      </x:c>
      <x:c r="R26" s="8" t="str">
        <x:v>2026-08-02 12:36 KST</x:v>
      </x:c>
    </x:row>
    <x:row r="27" ht="70" customHeight="1">
      <x:c r="A27" s="3" t="s">
        <x:v>252</x:v>
      </x:c>
      <x:c r="B27" s="3" t="s">
        <x:v>66</x:v>
      </x:c>
      <x:c r="C27" s="3" t="s">
        <x:v>253</x:v>
      </x:c>
      <x:c r="D27" s="3" t="s">
        <x:v>254</x:v>
      </x:c>
      <x:c r="E27" s="3" t="s">
        <x:v>255</x:v>
      </x:c>
      <x:c r="F27" s="3" t="s">
        <x:v>70</x:v>
      </x:c>
      <x:c r="G27" s="3" t="s">
        <x:v>256</x:v>
      </x:c>
      <x:c r="H27" s="3" t="s">
        <x:v>257</x:v>
      </x:c>
      <x:c r="I27" s="3" t="s">
        <x:v>258</x:v>
      </x:c>
      <x:c r="J27" s="3" t="s">
        <x:v>259</x:v>
      </x:c>
      <x:c r="K27" s="3" t="s">
        <x:v>75</x:v>
      </x:c>
      <x:c r="L27" s="3" t="s">
        <x:v>260</x:v>
      </x:c>
      <x:c r="M27" s="8" t="str">
        <x:v>Agent Reviewer 1</x:v>
      </x:c>
      <x:c r="N27" s="8" t="str">
        <x:v>Include</x:v>
      </x:c>
      <x:c r="O27" s="8" t="str"/>
      <x:c r="P27" s="8" t="str">
        <x:v>High</x:v>
      </x:c>
      <x:c r="Q27" s="8" t="str">
        <x:v>Potentially eligible primary human study directly evaluating SGLT2 inhibitor exposure or intervention in a cardiac-surgery population.</x:v>
      </x:c>
      <x:c r="R27" s="8" t="str">
        <x:v>2026-08-02 12:36 KST</x:v>
      </x:c>
    </x:row>
    <x:row r="28" ht="70" customHeight="1">
      <x:c r="A28" s="3" t="s">
        <x:v>261</x:v>
      </x:c>
      <x:c r="B28" s="3" t="s">
        <x:v>262</x:v>
      </x:c>
      <x:c r="C28" s="3" t="s">
        <x:v>263</x:v>
      </x:c>
      <x:c r="D28" s="3" t="s">
        <x:v>264</x:v>
      </x:c>
      <x:c r="E28" s="3" t="s">
        <x:v>265</x:v>
      </x:c>
      <x:c r="F28" s="3" t="s">
        <x:v>182</x:v>
      </x:c>
      <x:c r="G28" s="3" t="s">
        <x:v>164</x:v>
      </x:c>
      <x:c r="H28" s="3" t="s">
        <x:v>266</x:v>
      </x:c>
      <x:c r="I28" s="3"/>
      <x:c r="J28" s="3" t="s">
        <x:v>267</x:v>
      </x:c>
      <x:c r="K28" s="3"/>
      <x:c r="L28" s="3" t="s">
        <x:v>268</x:v>
      </x:c>
      <x:c r="M28" s="8" t="str">
        <x:v>Agent Reviewer 1</x:v>
      </x:c>
      <x:c r="N28" s="8" t="str">
        <x:v>Exclude</x:v>
      </x:c>
      <x:c r="O28" s="8" t="str">
        <x:v>Conference abstract with insufficient information</x:v>
      </x:c>
      <x:c r="P28" s="8" t="str">
        <x:v>High</x:v>
      </x:c>
      <x:c r="Q28" s="8" t="str">
        <x:v>Conference-only report; insufficient full-study information for primary inclusion.</x:v>
      </x:c>
      <x:c r="R28" s="8" t="str">
        <x:v>2026-08-02 12:36 KST</x:v>
      </x:c>
    </x:row>
    <x:row r="29" ht="70" customHeight="1">
      <x:c r="A29" s="3" t="s">
        <x:v>269</x:v>
      </x:c>
      <x:c r="B29" s="3" t="s">
        <x:v>262</x:v>
      </x:c>
      <x:c r="C29" s="3" t="s">
        <x:v>270</x:v>
      </x:c>
      <x:c r="D29" s="3" t="s">
        <x:v>271</x:v>
      </x:c>
      <x:c r="E29" s="3" t="s">
        <x:v>272</x:v>
      </x:c>
      <x:c r="F29" s="3" t="s">
        <x:v>182</x:v>
      </x:c>
      <x:c r="G29" s="3" t="s">
        <x:v>273</x:v>
      </x:c>
      <x:c r="H29" s="3" t="s">
        <x:v>274</x:v>
      </x:c>
      <x:c r="I29" s="3"/>
      <x:c r="J29" s="3" t="s">
        <x:v>267</x:v>
      </x:c>
      <x:c r="K29" s="3"/>
      <x:c r="L29" s="3" t="s">
        <x:v>275</x:v>
      </x:c>
      <x:c r="M29" s="8" t="str">
        <x:v>Agent Reviewer 1</x:v>
      </x:c>
      <x:c r="N29" s="8" t="str">
        <x:v>Exclude</x:v>
      </x:c>
      <x:c r="O29" s="8" t="str">
        <x:v>Conference abstract with insufficient information</x:v>
      </x:c>
      <x:c r="P29" s="8" t="str">
        <x:v>High</x:v>
      </x:c>
      <x:c r="Q29" s="8" t="str">
        <x:v>Conference-only report; insufficient full-study information for primary inclusion.</x:v>
      </x:c>
      <x:c r="R29" s="8" t="str">
        <x:v>2026-08-02 12:36 KST</x:v>
      </x:c>
    </x:row>
    <x:row r="30" ht="70" customHeight="1">
      <x:c r="A30" s="3" t="s">
        <x:v>276</x:v>
      </x:c>
      <x:c r="B30" s="3" t="s">
        <x:v>262</x:v>
      </x:c>
      <x:c r="C30" s="3" t="s">
        <x:v>277</x:v>
      </x:c>
      <x:c r="D30" s="3" t="s">
        <x:v>278</x:v>
      </x:c>
      <x:c r="E30" s="3" t="s">
        <x:v>279</x:v>
      </x:c>
      <x:c r="F30" s="3" t="s">
        <x:v>182</x:v>
      </x:c>
      <x:c r="G30" s="3" t="s">
        <x:v>280</x:v>
      </x:c>
      <x:c r="H30" s="3" t="s">
        <x:v>281</x:v>
      </x:c>
      <x:c r="I30" s="3"/>
      <x:c r="J30" s="3" t="s">
        <x:v>282</x:v>
      </x:c>
      <x:c r="K30" s="3"/>
      <x:c r="L30" s="3" t="s">
        <x:v>283</x:v>
      </x:c>
      <x:c r="M30" s="8" t="str">
        <x:v>Agent Reviewer 1</x:v>
      </x:c>
      <x:c r="N30" s="8" t="str">
        <x:v>Unclear</x:v>
      </x:c>
      <x:c r="O30" s="8" t="str"/>
      <x:c r="P30" s="8" t="str">
        <x:v>Moderate</x:v>
      </x:c>
      <x:c r="Q30" s="8" t="str">
        <x:v>Potential relevance, but timing, surgical-population definition, or primary-study eligibility requires human full-text review.</x:v>
      </x:c>
      <x:c r="R30" s="8" t="str">
        <x:v>2026-08-02 12:36 KST</x:v>
      </x:c>
    </x:row>
    <x:row r="31" ht="70" customHeight="1">
      <x:c r="A31" s="3" t="s">
        <x:v>284</x:v>
      </x:c>
      <x:c r="B31" s="3" t="s">
        <x:v>262</x:v>
      </x:c>
      <x:c r="C31" s="3" t="s">
        <x:v>285</x:v>
      </x:c>
      <x:c r="D31" s="3" t="s">
        <x:v>286</x:v>
      </x:c>
      <x:c r="E31" s="3" t="s">
        <x:v>287</x:v>
      </x:c>
      <x:c r="F31" s="3" t="s">
        <x:v>288</x:v>
      </x:c>
      <x:c r="G31" s="3" t="s">
        <x:v>289</x:v>
      </x:c>
      <x:c r="H31" s="3" t="s">
        <x:v>290</x:v>
      </x:c>
      <x:c r="I31" s="3"/>
      <x:c r="J31" s="3" t="s">
        <x:v>291</x:v>
      </x:c>
      <x:c r="K31" s="3"/>
      <x:c r="L31" s="3" t="s">
        <x:v>292</x:v>
      </x:c>
      <x:c r="M31" s="8" t="str">
        <x:v>Agent Reviewer 1</x:v>
      </x:c>
      <x:c r="N31" s="8" t="str">
        <x:v>Exclude</x:v>
      </x:c>
      <x:c r="O31" s="8" t="str">
        <x:v>Protocol, editorial, commentary, or review</x:v>
      </x:c>
      <x:c r="P31" s="8" t="str">
        <x:v>High</x:v>
      </x:c>
      <x:c r="Q31" s="8" t="str">
        <x:v>Protocol, registry, editorial, commentary, or letter without eligible completed primary outcomes.</x:v>
      </x:c>
      <x:c r="R31" s="8" t="str">
        <x:v>2026-08-02 12:36 KST</x:v>
      </x:c>
    </x:row>
    <x:row r="32" ht="70" customHeight="1">
      <x:c r="A32" s="3" t="s">
        <x:v>293</x:v>
      </x:c>
      <x:c r="B32" s="3" t="s">
        <x:v>262</x:v>
      </x:c>
      <x:c r="C32" s="3" t="s">
        <x:v>294</x:v>
      </x:c>
      <x:c r="D32" s="3" t="s">
        <x:v>295</x:v>
      </x:c>
      <x:c r="E32" s="3" t="s">
        <x:v>296</x:v>
      </x:c>
      <x:c r="F32" s="3" t="s">
        <x:v>297</x:v>
      </x:c>
      <x:c r="G32" s="3" t="s">
        <x:v>298</x:v>
      </x:c>
      <x:c r="H32" s="3" t="s">
        <x:v>299</x:v>
      </x:c>
      <x:c r="I32" s="3"/>
      <x:c r="J32" s="3" t="s">
        <x:v>291</x:v>
      </x:c>
      <x:c r="K32" s="3"/>
      <x:c r="L32" s="3" t="s">
        <x:v>300</x:v>
      </x:c>
      <x:c r="M32" s="8" t="str">
        <x:v>Agent Reviewer 1</x:v>
      </x:c>
      <x:c r="N32" s="8" t="str">
        <x:v>Exclude</x:v>
      </x:c>
      <x:c r="O32" s="8" t="str">
        <x:v>Protocol, editorial, commentary, or review</x:v>
      </x:c>
      <x:c r="P32" s="8" t="str">
        <x:v>High</x:v>
      </x:c>
      <x:c r="Q32" s="8" t="str">
        <x:v>Protocol, registry, editorial, commentary, or letter without eligible completed primary outcomes.</x:v>
      </x:c>
      <x:c r="R32" s="8" t="str">
        <x:v>2026-08-02 12:36 KST</x:v>
      </x:c>
    </x:row>
    <x:row r="33" ht="70" customHeight="1">
      <x:c r="A33" s="3" t="s">
        <x:v>301</x:v>
      </x:c>
      <x:c r="B33" s="3" t="s">
        <x:v>262</x:v>
      </x:c>
      <x:c r="C33" s="3" t="s">
        <x:v>302</x:v>
      </x:c>
      <x:c r="D33" s="3" t="s">
        <x:v>303</x:v>
      </x:c>
      <x:c r="E33" s="3" t="s">
        <x:v>304</x:v>
      </x:c>
      <x:c r="F33" s="3" t="s">
        <x:v>288</x:v>
      </x:c>
      <x:c r="G33" s="3" t="s">
        <x:v>305</x:v>
      </x:c>
      <x:c r="H33" s="3" t="s">
        <x:v>306</x:v>
      </x:c>
      <x:c r="I33" s="3"/>
      <x:c r="J33" s="3" t="s">
        <x:v>291</x:v>
      </x:c>
      <x:c r="K33" s="3"/>
      <x:c r="L33" s="3" t="s">
        <x:v>307</x:v>
      </x:c>
      <x:c r="M33" s="8" t="str">
        <x:v>Agent Reviewer 1</x:v>
      </x:c>
      <x:c r="N33" s="8" t="str">
        <x:v>Exclude</x:v>
      </x:c>
      <x:c r="O33" s="8" t="str">
        <x:v>Protocol, editorial, commentary, or review</x:v>
      </x:c>
      <x:c r="P33" s="8" t="str">
        <x:v>High</x:v>
      </x:c>
      <x:c r="Q33" s="8" t="str">
        <x:v>Protocol, registry, editorial, commentary, or letter without eligible completed primary outcomes.</x:v>
      </x:c>
      <x:c r="R33" s="8" t="str">
        <x:v>2026-08-02 12:36 KST</x:v>
      </x:c>
    </x:row>
    <x:row r="34" ht="70" customHeight="1">
      <x:c r="A34" s="3" t="s">
        <x:v>308</x:v>
      </x:c>
      <x:c r="B34" s="3" t="s">
        <x:v>262</x:v>
      </x:c>
      <x:c r="C34" s="3" t="s">
        <x:v>309</x:v>
      </x:c>
      <x:c r="D34" s="3" t="s">
        <x:v>310</x:v>
      </x:c>
      <x:c r="E34" s="3" t="s">
        <x:v>311</x:v>
      </x:c>
      <x:c r="F34" s="3" t="s">
        <x:v>58</x:v>
      </x:c>
      <x:c r="G34" s="3" t="s">
        <x:v>312</x:v>
      </x:c>
      <x:c r="H34" s="3" t="s">
        <x:v>313</x:v>
      </x:c>
      <x:c r="I34" s="3"/>
      <x:c r="J34" s="3" t="s">
        <x:v>291</x:v>
      </x:c>
      <x:c r="K34" s="3"/>
      <x:c r="L34" s="3" t="s">
        <x:v>314</x:v>
      </x:c>
      <x:c r="M34" s="8" t="str">
        <x:v>Agent Reviewer 1</x:v>
      </x:c>
      <x:c r="N34" s="8" t="str">
        <x:v>Exclude</x:v>
      </x:c>
      <x:c r="O34" s="8" t="str">
        <x:v>Protocol, editorial, commentary, or review</x:v>
      </x:c>
      <x:c r="P34" s="8" t="str">
        <x:v>High</x:v>
      </x:c>
      <x:c r="Q34" s="8" t="str">
        <x:v>Protocol, registry, editorial, commentary, or letter without eligible completed primary outcomes.</x:v>
      </x:c>
      <x:c r="R34" s="8" t="str">
        <x:v>2026-08-02 12:36 KST</x:v>
      </x:c>
    </x:row>
    <x:row r="35" ht="70" customHeight="1">
      <x:c r="A35" s="3" t="s">
        <x:v>315</x:v>
      </x:c>
      <x:c r="B35" s="3" t="s">
        <x:v>262</x:v>
      </x:c>
      <x:c r="C35" s="3" t="s">
        <x:v>316</x:v>
      </x:c>
      <x:c r="D35" s="3" t="s">
        <x:v>317</x:v>
      </x:c>
      <x:c r="E35" s="3" t="s">
        <x:v>318</x:v>
      </x:c>
      <x:c r="F35" s="3" t="s">
        <x:v>70</x:v>
      </x:c>
      <x:c r="G35" s="3" t="s">
        <x:v>319</x:v>
      </x:c>
      <x:c r="H35" s="3" t="s">
        <x:v>320</x:v>
      </x:c>
      <x:c r="I35" s="3"/>
      <x:c r="J35" s="3" t="s">
        <x:v>291</x:v>
      </x:c>
      <x:c r="K35" s="3"/>
      <x:c r="L35" s="3" t="s">
        <x:v>321</x:v>
      </x:c>
      <x:c r="M35" s="8" t="str">
        <x:v>Agent Reviewer 1</x:v>
      </x:c>
      <x:c r="N35" s="8" t="str">
        <x:v>Exclude</x:v>
      </x:c>
      <x:c r="O35" s="8" t="str">
        <x:v>Protocol, editorial, commentary, or review</x:v>
      </x:c>
      <x:c r="P35" s="8" t="str">
        <x:v>High</x:v>
      </x:c>
      <x:c r="Q35" s="8" t="str">
        <x:v>Protocol, registry, editorial, commentary, or letter without eligible completed primary outcomes.</x:v>
      </x:c>
      <x:c r="R35" s="8" t="str">
        <x:v>2026-08-02 12:36 KST</x:v>
      </x:c>
    </x:row>
    <x:row r="36" ht="70" customHeight="1">
      <x:c r="A36" s="3" t="s">
        <x:v>322</x:v>
      </x:c>
      <x:c r="B36" s="3" t="s">
        <x:v>262</x:v>
      </x:c>
      <x:c r="C36" s="3" t="s">
        <x:v>323</x:v>
      </x:c>
      <x:c r="D36" s="3" t="s">
        <x:v>324</x:v>
      </x:c>
      <x:c r="E36" s="3" t="s">
        <x:v>325</x:v>
      </x:c>
      <x:c r="F36" s="3" t="s">
        <x:v>288</x:v>
      </x:c>
      <x:c r="G36" s="3" t="s">
        <x:v>326</x:v>
      </x:c>
      <x:c r="H36" s="3" t="s">
        <x:v>327</x:v>
      </x:c>
      <x:c r="I36" s="3"/>
      <x:c r="J36" s="3" t="s">
        <x:v>291</x:v>
      </x:c>
      <x:c r="K36" s="3"/>
      <x:c r="L36" s="3" t="s">
        <x:v>328</x:v>
      </x:c>
      <x:c r="M36" s="8" t="str">
        <x:v>Agent Reviewer 1</x:v>
      </x:c>
      <x:c r="N36" s="8" t="str">
        <x:v>Exclude</x:v>
      </x:c>
      <x:c r="O36" s="8" t="str">
        <x:v>Protocol, editorial, commentary, or review</x:v>
      </x:c>
      <x:c r="P36" s="8" t="str">
        <x:v>High</x:v>
      </x:c>
      <x:c r="Q36" s="8" t="str">
        <x:v>Protocol, registry, editorial, commentary, or letter without eligible completed primary outcomes.</x:v>
      </x:c>
      <x:c r="R36" s="8" t="str">
        <x:v>2026-08-02 12:36 KST</x:v>
      </x:c>
    </x:row>
    <x:row r="37" ht="70" customHeight="1">
      <x:c r="A37" s="3" t="s">
        <x:v>329</x:v>
      </x:c>
      <x:c r="B37" s="3" t="s">
        <x:v>262</x:v>
      </x:c>
      <x:c r="C37" s="3" t="s">
        <x:v>330</x:v>
      </x:c>
      <x:c r="D37" s="3" t="s">
        <x:v>331</x:v>
      </x:c>
      <x:c r="E37" s="3" t="s">
        <x:v>332</x:v>
      </x:c>
      <x:c r="F37" s="3" t="s">
        <x:v>288</x:v>
      </x:c>
      <x:c r="G37" s="3" t="s">
        <x:v>333</x:v>
      </x:c>
      <x:c r="H37" s="3" t="s">
        <x:v>334</x:v>
      </x:c>
      <x:c r="I37" s="3"/>
      <x:c r="J37" s="3" t="s">
        <x:v>291</x:v>
      </x:c>
      <x:c r="K37" s="3"/>
      <x:c r="L37" s="3" t="s">
        <x:v>335</x:v>
      </x:c>
      <x:c r="M37" s="8" t="str">
        <x:v>Agent Reviewer 1</x:v>
      </x:c>
      <x:c r="N37" s="8" t="str">
        <x:v>Exclude</x:v>
      </x:c>
      <x:c r="O37" s="8" t="str">
        <x:v>Protocol, editorial, commentary, or review</x:v>
      </x:c>
      <x:c r="P37" s="8" t="str">
        <x:v>High</x:v>
      </x:c>
      <x:c r="Q37" s="8" t="str">
        <x:v>Protocol, registry, editorial, commentary, or letter without eligible completed primary outcomes.</x:v>
      </x:c>
      <x:c r="R37" s="8" t="str">
        <x:v>2026-08-02 12:36 KST</x:v>
      </x:c>
    </x:row>
    <x:row r="38" ht="70" customHeight="1">
      <x:c r="A38" s="3" t="s">
        <x:v>336</x:v>
      </x:c>
      <x:c r="B38" s="3" t="s">
        <x:v>262</x:v>
      </x:c>
      <x:c r="C38" s="3" t="s">
        <x:v>337</x:v>
      </x:c>
      <x:c r="D38" s="3" t="s">
        <x:v>338</x:v>
      </x:c>
      <x:c r="E38" s="3" t="s">
        <x:v>339</x:v>
      </x:c>
      <x:c r="F38" s="3" t="s">
        <x:v>70</x:v>
      </x:c>
      <x:c r="G38" s="3" t="s">
        <x:v>340</x:v>
      </x:c>
      <x:c r="H38" s="3" t="s">
        <x:v>341</x:v>
      </x:c>
      <x:c r="I38" s="3"/>
      <x:c r="J38" s="3" t="s">
        <x:v>291</x:v>
      </x:c>
      <x:c r="K38" s="3"/>
      <x:c r="L38" s="3" t="s">
        <x:v>342</x:v>
      </x:c>
      <x:c r="M38" s="8" t="str">
        <x:v>Agent Reviewer 1</x:v>
      </x:c>
      <x:c r="N38" s="8" t="str">
        <x:v>Exclude</x:v>
      </x:c>
      <x:c r="O38" s="8" t="str">
        <x:v>Protocol, editorial, commentary, or review</x:v>
      </x:c>
      <x:c r="P38" s="8" t="str">
        <x:v>High</x:v>
      </x:c>
      <x:c r="Q38" s="8" t="str">
        <x:v>Protocol, registry, editorial, commentary, or letter without eligible completed primary outcomes.</x:v>
      </x:c>
      <x:c r="R38" s="8" t="str">
        <x:v>2026-08-02 12:36 KST</x:v>
      </x:c>
    </x:row>
    <x:row r="39" ht="70" customHeight="1">
      <x:c r="A39" s="3" t="s">
        <x:v>343</x:v>
      </x:c>
      <x:c r="B39" s="3" t="s">
        <x:v>262</x:v>
      </x:c>
      <x:c r="C39" s="3" t="s">
        <x:v>344</x:v>
      </x:c>
      <x:c r="D39" s="3" t="s">
        <x:v>345</x:v>
      </x:c>
      <x:c r="E39" s="3" t="s">
        <x:v>346</x:v>
      </x:c>
      <x:c r="F39" s="3" t="s">
        <x:v>347</x:v>
      </x:c>
      <x:c r="G39" s="3" t="s">
        <x:v>348</x:v>
      </x:c>
      <x:c r="H39" s="3" t="s">
        <x:v>349</x:v>
      </x:c>
      <x:c r="I39" s="3"/>
      <x:c r="J39" s="3" t="s">
        <x:v>291</x:v>
      </x:c>
      <x:c r="K39" s="3"/>
      <x:c r="L39" s="3" t="s">
        <x:v>350</x:v>
      </x:c>
      <x:c r="M39" s="8" t="str">
        <x:v>Agent Reviewer 1</x:v>
      </x:c>
      <x:c r="N39" s="8" t="str">
        <x:v>Exclude</x:v>
      </x:c>
      <x:c r="O39" s="8" t="str">
        <x:v>Protocol, editorial, commentary, or review</x:v>
      </x:c>
      <x:c r="P39" s="8" t="str">
        <x:v>High</x:v>
      </x:c>
      <x:c r="Q39" s="8" t="str">
        <x:v>Protocol, registry, editorial, commentary, or letter without eligible completed primary outcomes.</x:v>
      </x:c>
      <x:c r="R39" s="8" t="str">
        <x:v>2026-08-02 12:36 KST</x:v>
      </x:c>
    </x:row>
    <x:row r="40" ht="70" customHeight="1">
      <x:c r="A40" s="3" t="s">
        <x:v>351</x:v>
      </x:c>
      <x:c r="B40" s="3" t="s">
        <x:v>262</x:v>
      </x:c>
      <x:c r="C40" s="3" t="s">
        <x:v>352</x:v>
      </x:c>
      <x:c r="D40" s="3" t="s">
        <x:v>353</x:v>
      </x:c>
      <x:c r="E40" s="3" t="s">
        <x:v>354</x:v>
      </x:c>
      <x:c r="F40" s="3" t="s">
        <x:v>70</x:v>
      </x:c>
      <x:c r="G40" s="3" t="s">
        <x:v>355</x:v>
      </x:c>
      <x:c r="H40" s="3" t="s">
        <x:v>356</x:v>
      </x:c>
      <x:c r="I40" s="3"/>
      <x:c r="J40" s="3" t="s">
        <x:v>291</x:v>
      </x:c>
      <x:c r="K40" s="3"/>
      <x:c r="L40" s="3" t="s">
        <x:v>357</x:v>
      </x:c>
      <x:c r="M40" s="8" t="str">
        <x:v>Agent Reviewer 1</x:v>
      </x:c>
      <x:c r="N40" s="8" t="str">
        <x:v>Exclude</x:v>
      </x:c>
      <x:c r="O40" s="8" t="str">
        <x:v>Protocol, editorial, commentary, or review</x:v>
      </x:c>
      <x:c r="P40" s="8" t="str">
        <x:v>High</x:v>
      </x:c>
      <x:c r="Q40" s="8" t="str">
        <x:v>Protocol, registry, editorial, commentary, or letter without eligible completed primary outcomes.</x:v>
      </x:c>
      <x:c r="R40" s="8" t="str">
        <x:v>2026-08-02 12:36 KST</x:v>
      </x:c>
    </x:row>
    <x:row r="41" ht="70" customHeight="1">
      <x:c r="A41" s="3" t="s">
        <x:v>358</x:v>
      </x:c>
      <x:c r="B41" s="3" t="s">
        <x:v>262</x:v>
      </x:c>
      <x:c r="C41" s="3" t="s">
        <x:v>359</x:v>
      </x:c>
      <x:c r="D41" s="3" t="s">
        <x:v>360</x:v>
      </x:c>
      <x:c r="E41" s="3" t="s">
        <x:v>361</x:v>
      </x:c>
      <x:c r="F41" s="3" t="s">
        <x:v>70</x:v>
      </x:c>
      <x:c r="G41" s="3" t="s">
        <x:v>362</x:v>
      </x:c>
      <x:c r="H41" s="3" t="s">
        <x:v>363</x:v>
      </x:c>
      <x:c r="I41" s="3"/>
      <x:c r="J41" s="3" t="s">
        <x:v>291</x:v>
      </x:c>
      <x:c r="K41" s="3"/>
      <x:c r="L41" s="3" t="s">
        <x:v>364</x:v>
      </x:c>
      <x:c r="M41" s="8" t="str">
        <x:v>Agent Reviewer 1</x:v>
      </x:c>
      <x:c r="N41" s="8" t="str">
        <x:v>Exclude</x:v>
      </x:c>
      <x:c r="O41" s="8" t="str">
        <x:v>Protocol, editorial, commentary, or review</x:v>
      </x:c>
      <x:c r="P41" s="8" t="str">
        <x:v>High</x:v>
      </x:c>
      <x:c r="Q41" s="8" t="str">
        <x:v>Protocol, registry, editorial, commentary, or letter without eligible completed primary outcomes.</x:v>
      </x:c>
      <x:c r="R41" s="8" t="str">
        <x:v>2026-08-02 12:36 KST</x:v>
      </x:c>
    </x:row>
    <x:row r="42" ht="70" customHeight="1">
      <x:c r="A42" s="3" t="s">
        <x:v>365</x:v>
      </x:c>
      <x:c r="B42" s="3" t="s">
        <x:v>262</x:v>
      </x:c>
      <x:c r="C42" s="3" t="s">
        <x:v>366</x:v>
      </x:c>
      <x:c r="D42" s="3" t="s">
        <x:v>367</x:v>
      </x:c>
      <x:c r="E42" s="3" t="s">
        <x:v>368</x:v>
      </x:c>
      <x:c r="F42" s="3" t="s">
        <x:v>81</x:v>
      </x:c>
      <x:c r="G42" s="3" t="s">
        <x:v>369</x:v>
      </x:c>
      <x:c r="H42" s="3" t="s">
        <x:v>370</x:v>
      </x:c>
      <x:c r="I42" s="3"/>
      <x:c r="J42" s="3" t="s">
        <x:v>291</x:v>
      </x:c>
      <x:c r="K42" s="3"/>
      <x:c r="L42" s="3" t="s">
        <x:v>371</x:v>
      </x:c>
      <x:c r="M42" s="8" t="str">
        <x:v>Agent Reviewer 1</x:v>
      </x:c>
      <x:c r="N42" s="8" t="str">
        <x:v>Exclude</x:v>
      </x:c>
      <x:c r="O42" s="8" t="str">
        <x:v>Protocol, editorial, commentary, or review</x:v>
      </x:c>
      <x:c r="P42" s="8" t="str">
        <x:v>High</x:v>
      </x:c>
      <x:c r="Q42" s="8" t="str">
        <x:v>Protocol, registry, editorial, commentary, or letter without eligible completed primary outcomes.</x:v>
      </x:c>
      <x:c r="R42" s="8" t="str">
        <x:v>2026-08-02 12:36 KST</x:v>
      </x:c>
    </x:row>
    <x:row r="43" ht="70" customHeight="1">
      <x:c r="A43" s="3" t="s">
        <x:v>372</x:v>
      </x:c>
      <x:c r="B43" s="3" t="s">
        <x:v>262</x:v>
      </x:c>
      <x:c r="C43" s="3" t="s">
        <x:v>373</x:v>
      </x:c>
      <x:c r="D43" s="3" t="s">
        <x:v>374</x:v>
      </x:c>
      <x:c r="E43" s="3" t="s">
        <x:v>375</x:v>
      </x:c>
      <x:c r="F43" s="3" t="s">
        <x:v>70</x:v>
      </x:c>
      <x:c r="G43" s="3" t="s">
        <x:v>376</x:v>
      </x:c>
      <x:c r="H43" s="3" t="s">
        <x:v>377</x:v>
      </x:c>
      <x:c r="I43" s="3"/>
      <x:c r="J43" s="3" t="s">
        <x:v>291</x:v>
      </x:c>
      <x:c r="K43" s="3"/>
      <x:c r="L43" s="3" t="s">
        <x:v>378</x:v>
      </x:c>
      <x:c r="M43" s="8" t="str">
        <x:v>Agent Reviewer 1</x:v>
      </x:c>
      <x:c r="N43" s="8" t="str">
        <x:v>Exclude</x:v>
      </x:c>
      <x:c r="O43" s="8" t="str">
        <x:v>Protocol, editorial, commentary, or review</x:v>
      </x:c>
      <x:c r="P43" s="8" t="str">
        <x:v>High</x:v>
      </x:c>
      <x:c r="Q43" s="8" t="str">
        <x:v>Protocol, registry, editorial, commentary, or letter without eligible completed primary outcomes.</x:v>
      </x:c>
      <x:c r="R43" s="8" t="str">
        <x:v>2026-08-02 12:36 KST</x:v>
      </x:c>
    </x:row>
    <x:row r="44" ht="70" customHeight="1">
      <x:c r="A44" s="3" t="s">
        <x:v>379</x:v>
      </x:c>
      <x:c r="B44" s="3" t="s">
        <x:v>262</x:v>
      </x:c>
      <x:c r="C44" s="3" t="s">
        <x:v>380</x:v>
      </x:c>
      <x:c r="D44" s="3" t="s">
        <x:v>381</x:v>
      </x:c>
      <x:c r="E44" s="3" t="s">
        <x:v>382</x:v>
      </x:c>
      <x:c r="F44" s="3" t="s">
        <x:v>81</x:v>
      </x:c>
      <x:c r="G44" s="3" t="s">
        <x:v>383</x:v>
      </x:c>
      <x:c r="H44" s="3" t="s">
        <x:v>384</x:v>
      </x:c>
      <x:c r="I44" s="3"/>
      <x:c r="J44" s="3" t="s">
        <x:v>291</x:v>
      </x:c>
      <x:c r="K44" s="3"/>
      <x:c r="L44" s="3" t="s">
        <x:v>385</x:v>
      </x:c>
      <x:c r="M44" s="8" t="str">
        <x:v>Agent Reviewer 1</x:v>
      </x:c>
      <x:c r="N44" s="8" t="str">
        <x:v>Exclude</x:v>
      </x:c>
      <x:c r="O44" s="8" t="str">
        <x:v>Protocol, editorial, commentary, or review</x:v>
      </x:c>
      <x:c r="P44" s="8" t="str">
        <x:v>High</x:v>
      </x:c>
      <x:c r="Q44" s="8" t="str">
        <x:v>Protocol, registry, editorial, commentary, or letter without eligible completed primary outcomes.</x:v>
      </x:c>
      <x:c r="R44" s="8" t="str">
        <x:v>2026-08-02 12:36 KST</x:v>
      </x:c>
    </x:row>
    <x:row r="45" ht="70" customHeight="1">
      <x:c r="A45" s="3" t="s">
        <x:v>386</x:v>
      </x:c>
      <x:c r="B45" s="3" t="s">
        <x:v>262</x:v>
      </x:c>
      <x:c r="C45" s="3" t="s">
        <x:v>387</x:v>
      </x:c>
      <x:c r="D45" s="3" t="s">
        <x:v>388</x:v>
      </x:c>
      <x:c r="E45" s="3" t="s">
        <x:v>389</x:v>
      </x:c>
      <x:c r="F45" s="3" t="s">
        <x:v>92</x:v>
      </x:c>
      <x:c r="G45" s="3" t="s">
        <x:v>390</x:v>
      </x:c>
      <x:c r="H45" s="3" t="s">
        <x:v>391</x:v>
      </x:c>
      <x:c r="I45" s="3"/>
      <x:c r="J45" s="3" t="s">
        <x:v>392</x:v>
      </x:c>
      <x:c r="K45" s="3"/>
      <x:c r="L45" s="3" t="s">
        <x:v>393</x:v>
      </x:c>
      <x:c r="M45" s="8" t="str">
        <x:v>Agent Reviewer 1</x:v>
      </x:c>
      <x:c r="N45" s="8" t="str">
        <x:v>Exclude</x:v>
      </x:c>
      <x:c r="O45" s="8" t="str">
        <x:v>Wrong population</x:v>
      </x:c>
      <x:c r="P45" s="8" t="str">
        <x:v>High</x:v>
      </x:c>
      <x:c r="Q45" s="8" t="str">
        <x:v>Study population is outside the target cardiac-surgery population.</x:v>
      </x:c>
      <x:c r="R45" s="8" t="str">
        <x:v>2026-08-02 12:36 KST</x:v>
      </x:c>
    </x:row>
    <x:row r="46" ht="70" customHeight="1">
      <x:c r="A46" s="3" t="s">
        <x:v>394</x:v>
      </x:c>
      <x:c r="B46" s="3" t="s">
        <x:v>262</x:v>
      </x:c>
      <x:c r="C46" s="3" t="s">
        <x:v>395</x:v>
      </x:c>
      <x:c r="D46" s="3" t="s">
        <x:v>396</x:v>
      </x:c>
      <x:c r="E46" s="3" t="s">
        <x:v>397</x:v>
      </x:c>
      <x:c r="F46" s="3" t="s">
        <x:v>92</x:v>
      </x:c>
      <x:c r="G46" s="3" t="s">
        <x:v>398</x:v>
      </x:c>
      <x:c r="H46" s="3" t="s">
        <x:v>399</x:v>
      </x:c>
      <x:c r="I46" s="3"/>
      <x:c r="J46" s="3" t="s">
        <x:v>291</x:v>
      </x:c>
      <x:c r="K46" s="3"/>
      <x:c r="L46" s="3" t="s">
        <x:v>400</x:v>
      </x:c>
      <x:c r="M46" s="8" t="str">
        <x:v>Agent Reviewer 1</x:v>
      </x:c>
      <x:c r="N46" s="8" t="str">
        <x:v>Exclude</x:v>
      </x:c>
      <x:c r="O46" s="8" t="str">
        <x:v>Protocol, editorial, commentary, or review</x:v>
      </x:c>
      <x:c r="P46" s="8" t="str">
        <x:v>High</x:v>
      </x:c>
      <x:c r="Q46" s="8" t="str">
        <x:v>Protocol, registry, editorial, commentary, or letter without eligible completed primary outcomes.</x:v>
      </x:c>
      <x:c r="R46" s="8" t="str">
        <x:v>2026-08-02 12:36 KST</x:v>
      </x:c>
    </x:row>
    <x:row r="47" ht="70" customHeight="1">
      <x:c r="A47" s="3" t="s">
        <x:v>401</x:v>
      </x:c>
      <x:c r="B47" s="3" t="s">
        <x:v>262</x:v>
      </x:c>
      <x:c r="C47" s="3" t="s">
        <x:v>402</x:v>
      </x:c>
      <x:c r="D47" s="3" t="s">
        <x:v>403</x:v>
      </x:c>
      <x:c r="E47" s="3" t="s">
        <x:v>404</x:v>
      </x:c>
      <x:c r="F47" s="3" t="s">
        <x:v>92</x:v>
      </x:c>
      <x:c r="G47" s="3" t="s">
        <x:v>405</x:v>
      </x:c>
      <x:c r="H47" s="3" t="s">
        <x:v>406</x:v>
      </x:c>
      <x:c r="I47" s="3"/>
      <x:c r="J47" s="3" t="s">
        <x:v>291</x:v>
      </x:c>
      <x:c r="K47" s="3"/>
      <x:c r="L47" s="3" t="s">
        <x:v>407</x:v>
      </x:c>
      <x:c r="M47" s="8" t="str">
        <x:v>Agent Reviewer 1</x:v>
      </x:c>
      <x:c r="N47" s="8" t="str">
        <x:v>Exclude</x:v>
      </x:c>
      <x:c r="O47" s="8" t="str">
        <x:v>Protocol, editorial, commentary, or review</x:v>
      </x:c>
      <x:c r="P47" s="8" t="str">
        <x:v>High</x:v>
      </x:c>
      <x:c r="Q47" s="8" t="str">
        <x:v>Protocol, registry, editorial, commentary, or letter without eligible completed primary outcomes.</x:v>
      </x:c>
      <x:c r="R47" s="8" t="str">
        <x:v>2026-08-02 12:36 KST</x:v>
      </x:c>
    </x:row>
    <x:row r="48" ht="70" customHeight="1">
      <x:c r="A48" s="3" t="s">
        <x:v>408</x:v>
      </x:c>
      <x:c r="B48" s="3" t="s">
        <x:v>262</x:v>
      </x:c>
      <x:c r="C48" s="3" t="s">
        <x:v>409</x:v>
      </x:c>
      <x:c r="D48" s="3" t="s">
        <x:v>410</x:v>
      </x:c>
      <x:c r="E48" s="3" t="s">
        <x:v>411</x:v>
      </x:c>
      <x:c r="F48" s="3" t="s">
        <x:v>92</x:v>
      </x:c>
      <x:c r="G48" s="3" t="s">
        <x:v>412</x:v>
      </x:c>
      <x:c r="H48" s="3" t="s">
        <x:v>413</x:v>
      </x:c>
      <x:c r="I48" s="3"/>
      <x:c r="J48" s="3" t="s">
        <x:v>291</x:v>
      </x:c>
      <x:c r="K48" s="3"/>
      <x:c r="L48" s="3" t="s">
        <x:v>414</x:v>
      </x:c>
      <x:c r="M48" s="8" t="str">
        <x:v>Agent Reviewer 1</x:v>
      </x:c>
      <x:c r="N48" s="8" t="str">
        <x:v>Exclude</x:v>
      </x:c>
      <x:c r="O48" s="8" t="str">
        <x:v>Protocol, editorial, commentary, or review</x:v>
      </x:c>
      <x:c r="P48" s="8" t="str">
        <x:v>High</x:v>
      </x:c>
      <x:c r="Q48" s="8" t="str">
        <x:v>Protocol, registry, editorial, commentary, or letter without eligible completed primary outcomes.</x:v>
      </x:c>
      <x:c r="R48" s="8" t="str">
        <x:v>2026-08-02 12:36 KST</x:v>
      </x:c>
    </x:row>
    <x:row r="49" ht="70" customHeight="1">
      <x:c r="A49" s="3" t="s">
        <x:v>415</x:v>
      </x:c>
      <x:c r="B49" s="3" t="s">
        <x:v>262</x:v>
      </x:c>
      <x:c r="C49" s="3" t="s">
        <x:v>416</x:v>
      </x:c>
      <x:c r="D49" s="3" t="s">
        <x:v>417</x:v>
      </x:c>
      <x:c r="E49" s="3" t="s">
        <x:v>418</x:v>
      </x:c>
      <x:c r="F49" s="3" t="s">
        <x:v>81</x:v>
      </x:c>
      <x:c r="G49" s="3" t="s">
        <x:v>419</x:v>
      </x:c>
      <x:c r="H49" s="3" t="s">
        <x:v>420</x:v>
      </x:c>
      <x:c r="I49" s="3"/>
      <x:c r="J49" s="3" t="s">
        <x:v>291</x:v>
      </x:c>
      <x:c r="K49" s="3"/>
      <x:c r="L49" s="3" t="s">
        <x:v>421</x:v>
      </x:c>
      <x:c r="M49" s="8" t="str">
        <x:v>Agent Reviewer 1</x:v>
      </x:c>
      <x:c r="N49" s="8" t="str">
        <x:v>Exclude</x:v>
      </x:c>
      <x:c r="O49" s="8" t="str">
        <x:v>Protocol, editorial, commentary, or review</x:v>
      </x:c>
      <x:c r="P49" s="8" t="str">
        <x:v>High</x:v>
      </x:c>
      <x:c r="Q49" s="8" t="str">
        <x:v>Protocol, registry, editorial, commentary, or letter without eligible completed primary outcomes.</x:v>
      </x:c>
      <x:c r="R49" s="8" t="str">
        <x:v>2026-08-02 12:36 KST</x:v>
      </x:c>
    </x:row>
    <x:row r="50" ht="70" customHeight="1">
      <x:c r="A50" s="3" t="s">
        <x:v>422</x:v>
      </x:c>
      <x:c r="B50" s="3" t="s">
        <x:v>262</x:v>
      </x:c>
      <x:c r="C50" s="3" t="s">
        <x:v>423</x:v>
      </x:c>
      <x:c r="D50" s="3" t="s">
        <x:v>424</x:v>
      </x:c>
      <x:c r="E50" s="3" t="s">
        <x:v>425</x:v>
      </x:c>
      <x:c r="F50" s="3" t="s">
        <x:v>92</x:v>
      </x:c>
      <x:c r="G50" s="3" t="s">
        <x:v>426</x:v>
      </x:c>
      <x:c r="H50" s="3" t="s">
        <x:v>427</x:v>
      </x:c>
      <x:c r="I50" s="3"/>
      <x:c r="J50" s="3" t="s">
        <x:v>291</x:v>
      </x:c>
      <x:c r="K50" s="3"/>
      <x:c r="L50" s="3" t="s">
        <x:v>428</x:v>
      </x:c>
      <x:c r="M50" s="8" t="str">
        <x:v>Agent Reviewer 1</x:v>
      </x:c>
      <x:c r="N50" s="8" t="str">
        <x:v>Exclude</x:v>
      </x:c>
      <x:c r="O50" s="8" t="str">
        <x:v>Protocol, editorial, commentary, or review</x:v>
      </x:c>
      <x:c r="P50" s="8" t="str">
        <x:v>High</x:v>
      </x:c>
      <x:c r="Q50" s="8" t="str">
        <x:v>Protocol, registry, editorial, commentary, or letter without eligible completed primary outcomes.</x:v>
      </x:c>
      <x:c r="R50" s="8" t="str">
        <x:v>2026-08-02 12:36 KST</x:v>
      </x:c>
    </x:row>
    <x:row r="51" ht="70" customHeight="1">
      <x:c r="A51" s="3" t="s">
        <x:v>429</x:v>
      </x:c>
      <x:c r="B51" s="3" t="s">
        <x:v>262</x:v>
      </x:c>
      <x:c r="C51" s="3" t="s">
        <x:v>430</x:v>
      </x:c>
      <x:c r="D51" s="3" t="s">
        <x:v>431</x:v>
      </x:c>
      <x:c r="E51" s="3" t="s">
        <x:v>432</x:v>
      </x:c>
      <x:c r="F51" s="3" t="s">
        <x:v>81</x:v>
      </x:c>
      <x:c r="G51" s="3" t="s">
        <x:v>433</x:v>
      </x:c>
      <x:c r="H51" s="3" t="s">
        <x:v>434</x:v>
      </x:c>
      <x:c r="I51" s="3"/>
      <x:c r="J51" s="3" t="s">
        <x:v>291</x:v>
      </x:c>
      <x:c r="K51" s="3"/>
      <x:c r="L51" s="3" t="s">
        <x:v>435</x:v>
      </x:c>
      <x:c r="M51" s="8" t="str">
        <x:v>Agent Reviewer 1</x:v>
      </x:c>
      <x:c r="N51" s="8" t="str">
        <x:v>Exclude</x:v>
      </x:c>
      <x:c r="O51" s="8" t="str">
        <x:v>Protocol, editorial, commentary, or review</x:v>
      </x:c>
      <x:c r="P51" s="8" t="str">
        <x:v>High</x:v>
      </x:c>
      <x:c r="Q51" s="8" t="str">
        <x:v>Protocol, registry, editorial, commentary, or letter without eligible completed primary outcomes.</x:v>
      </x:c>
      <x:c r="R51" s="8" t="str">
        <x:v>2026-08-02 12:36 KST</x:v>
      </x:c>
    </x:row>
    <x:row r="52" ht="70" customHeight="1">
      <x:c r="A52" s="3" t="s">
        <x:v>436</x:v>
      </x:c>
      <x:c r="B52" s="3" t="s">
        <x:v>262</x:v>
      </x:c>
      <x:c r="C52" s="3" t="s">
        <x:v>437</x:v>
      </x:c>
      <x:c r="D52" s="3" t="s">
        <x:v>438</x:v>
      </x:c>
      <x:c r="E52" s="3" t="s">
        <x:v>439</x:v>
      </x:c>
      <x:c r="F52" s="3" t="s">
        <x:v>58</x:v>
      </x:c>
      <x:c r="G52" s="3" t="s">
        <x:v>440</x:v>
      </x:c>
      <x:c r="H52" s="3" t="s">
        <x:v>441</x:v>
      </x:c>
      <x:c r="I52" s="3"/>
      <x:c r="J52" s="3" t="s">
        <x:v>291</x:v>
      </x:c>
      <x:c r="K52" s="3"/>
      <x:c r="L52" s="3" t="s">
        <x:v>442</x:v>
      </x:c>
      <x:c r="M52" s="8" t="str">
        <x:v>Agent Reviewer 1</x:v>
      </x:c>
      <x:c r="N52" s="8" t="str">
        <x:v>Exclude</x:v>
      </x:c>
      <x:c r="O52" s="8" t="str">
        <x:v>Protocol, editorial, commentary, or review</x:v>
      </x:c>
      <x:c r="P52" s="8" t="str">
        <x:v>High</x:v>
      </x:c>
      <x:c r="Q52" s="8" t="str">
        <x:v>Protocol, registry, editorial, commentary, or letter without eligible completed primary outcomes.</x:v>
      </x:c>
      <x:c r="R52" s="8" t="str">
        <x:v>2026-08-02 12:36 KST</x:v>
      </x:c>
    </x:row>
    <x:row r="53" ht="70" customHeight="1">
      <x:c r="A53" s="3" t="s">
        <x:v>443</x:v>
      </x:c>
      <x:c r="B53" s="3" t="s">
        <x:v>262</x:v>
      </x:c>
      <x:c r="C53" s="3" t="s">
        <x:v>444</x:v>
      </x:c>
      <x:c r="D53" s="3" t="s">
        <x:v>445</x:v>
      </x:c>
      <x:c r="E53" s="3" t="s">
        <x:v>446</x:v>
      </x:c>
      <x:c r="F53" s="3" t="s">
        <x:v>297</x:v>
      </x:c>
      <x:c r="G53" s="3" t="s">
        <x:v>447</x:v>
      </x:c>
      <x:c r="H53" s="3" t="s">
        <x:v>448</x:v>
      </x:c>
      <x:c r="I53" s="3"/>
      <x:c r="J53" s="3" t="s">
        <x:v>291</x:v>
      </x:c>
      <x:c r="K53" s="3"/>
      <x:c r="L53" s="3" t="s">
        <x:v>449</x:v>
      </x:c>
      <x:c r="M53" s="8" t="str">
        <x:v>Agent Reviewer 1</x:v>
      </x:c>
      <x:c r="N53" s="8" t="str">
        <x:v>Exclude</x:v>
      </x:c>
      <x:c r="O53" s="8" t="str">
        <x:v>Protocol, editorial, commentary, or review</x:v>
      </x:c>
      <x:c r="P53" s="8" t="str">
        <x:v>High</x:v>
      </x:c>
      <x:c r="Q53" s="8" t="str">
        <x:v>Protocol, registry, editorial, commentary, or letter without eligible completed primary outcomes.</x:v>
      </x:c>
      <x:c r="R53" s="8" t="str">
        <x:v>2026-08-02 12:36 KST</x:v>
      </x:c>
    </x:row>
    <x:row r="54" ht="70" customHeight="1">
      <x:c r="A54" s="3" t="s">
        <x:v>450</x:v>
      </x:c>
      <x:c r="B54" s="3" t="s">
        <x:v>262</x:v>
      </x:c>
      <x:c r="C54" s="3" t="s">
        <x:v>451</x:v>
      </x:c>
      <x:c r="D54" s="3" t="s">
        <x:v>452</x:v>
      </x:c>
      <x:c r="E54" s="3" t="s">
        <x:v>453</x:v>
      </x:c>
      <x:c r="F54" s="3" t="s">
        <x:v>92</x:v>
      </x:c>
      <x:c r="G54" s="3" t="s">
        <x:v>454</x:v>
      </x:c>
      <x:c r="H54" s="3" t="s">
        <x:v>455</x:v>
      </x:c>
      <x:c r="I54" s="3"/>
      <x:c r="J54" s="3" t="s">
        <x:v>267</x:v>
      </x:c>
      <x:c r="K54" s="3"/>
      <x:c r="L54" s="3" t="s">
        <x:v>456</x:v>
      </x:c>
      <x:c r="M54" s="8" t="str">
        <x:v>Agent Reviewer 1</x:v>
      </x:c>
      <x:c r="N54" s="8" t="str">
        <x:v>Exclude</x:v>
      </x:c>
      <x:c r="O54" s="8" t="str">
        <x:v>Conference abstract with insufficient information</x:v>
      </x:c>
      <x:c r="P54" s="8" t="str">
        <x:v>High</x:v>
      </x:c>
      <x:c r="Q54" s="8" t="str">
        <x:v>Conference-only report; insufficient full-study information for primary inclusion.</x:v>
      </x:c>
      <x:c r="R54" s="8" t="str">
        <x:v>2026-08-02 12:36 KST</x:v>
      </x:c>
    </x:row>
    <x:row r="55" ht="70" customHeight="1">
      <x:c r="A55" s="3" t="s">
        <x:v>457</x:v>
      </x:c>
      <x:c r="B55" s="3" t="s">
        <x:v>262</x:v>
      </x:c>
      <x:c r="C55" s="3" t="s">
        <x:v>458</x:v>
      </x:c>
      <x:c r="D55" s="3" t="s">
        <x:v>459</x:v>
      </x:c>
      <x:c r="E55" s="3" t="s">
        <x:v>460</x:v>
      </x:c>
      <x:c r="F55" s="3" t="s">
        <x:v>70</x:v>
      </x:c>
      <x:c r="G55" s="3" t="s">
        <x:v>461</x:v>
      </x:c>
      <x:c r="H55" s="3" t="s">
        <x:v>462</x:v>
      </x:c>
      <x:c r="I55" s="3"/>
      <x:c r="J55" s="3" t="s">
        <x:v>291</x:v>
      </x:c>
      <x:c r="K55" s="3"/>
      <x:c r="L55" s="3" t="s">
        <x:v>463</x:v>
      </x:c>
      <x:c r="M55" s="8" t="str">
        <x:v>Agent Reviewer 1</x:v>
      </x:c>
      <x:c r="N55" s="8" t="str">
        <x:v>Exclude</x:v>
      </x:c>
      <x:c r="O55" s="8" t="str">
        <x:v>Protocol, editorial, commentary, or review</x:v>
      </x:c>
      <x:c r="P55" s="8" t="str">
        <x:v>High</x:v>
      </x:c>
      <x:c r="Q55" s="8" t="str">
        <x:v>Protocol, registry, editorial, commentary, or letter without eligible completed primary outcomes.</x:v>
      </x:c>
      <x:c r="R55" s="8" t="str">
        <x:v>2026-08-02 12:36 KST</x:v>
      </x:c>
    </x:row>
    <x:row r="56" ht="70" customHeight="1">
      <x:c r="A56" s="3" t="s">
        <x:v>464</x:v>
      </x:c>
      <x:c r="B56" s="3" t="s">
        <x:v>262</x:v>
      </x:c>
      <x:c r="C56" s="3" t="s">
        <x:v>465</x:v>
      </x:c>
      <x:c r="D56" s="3" t="s">
        <x:v>466</x:v>
      </x:c>
      <x:c r="E56" s="3" t="s">
        <x:v>467</x:v>
      </x:c>
      <x:c r="F56" s="3" t="s">
        <x:v>92</x:v>
      </x:c>
      <x:c r="G56" s="3" t="s">
        <x:v>468</x:v>
      </x:c>
      <x:c r="H56" s="3" t="s">
        <x:v>469</x:v>
      </x:c>
      <x:c r="I56" s="3"/>
      <x:c r="J56" s="3" t="s">
        <x:v>291</x:v>
      </x:c>
      <x:c r="K56" s="3"/>
      <x:c r="L56" s="3" t="s">
        <x:v>470</x:v>
      </x:c>
      <x:c r="M56" s="8" t="str">
        <x:v>Agent Reviewer 1</x:v>
      </x:c>
      <x:c r="N56" s="8" t="str">
        <x:v>Exclude</x:v>
      </x:c>
      <x:c r="O56" s="8" t="str">
        <x:v>Protocol, editorial, commentary, or review</x:v>
      </x:c>
      <x:c r="P56" s="8" t="str">
        <x:v>High</x:v>
      </x:c>
      <x:c r="Q56" s="8" t="str">
        <x:v>Protocol, registry, editorial, commentary, or letter without eligible completed primary outcomes.</x:v>
      </x:c>
      <x:c r="R56" s="8" t="str">
        <x:v>2026-08-02 12:36 KST</x:v>
      </x:c>
    </x:row>
    <x:row r="57" ht="70" customHeight="1">
      <x:c r="A57" s="3" t="s">
        <x:v>471</x:v>
      </x:c>
      <x:c r="B57" s="3" t="s">
        <x:v>262</x:v>
      </x:c>
      <x:c r="C57" s="3" t="s">
        <x:v>472</x:v>
      </x:c>
      <x:c r="D57" s="3" t="s">
        <x:v>473</x:v>
      </x:c>
      <x:c r="E57" s="3" t="s">
        <x:v>474</x:v>
      </x:c>
      <x:c r="F57" s="3" t="s">
        <x:v>70</x:v>
      </x:c>
      <x:c r="G57" s="3" t="s">
        <x:v>475</x:v>
      </x:c>
      <x:c r="H57" s="3" t="s">
        <x:v>476</x:v>
      </x:c>
      <x:c r="I57" s="3"/>
      <x:c r="J57" s="3" t="s">
        <x:v>291</x:v>
      </x:c>
      <x:c r="K57" s="3"/>
      <x:c r="L57" s="3" t="s">
        <x:v>477</x:v>
      </x:c>
      <x:c r="M57" s="8" t="str">
        <x:v>Agent Reviewer 1</x:v>
      </x:c>
      <x:c r="N57" s="8" t="str">
        <x:v>Exclude</x:v>
      </x:c>
      <x:c r="O57" s="8" t="str">
        <x:v>Protocol, editorial, commentary, or review</x:v>
      </x:c>
      <x:c r="P57" s="8" t="str">
        <x:v>High</x:v>
      </x:c>
      <x:c r="Q57" s="8" t="str">
        <x:v>Protocol, registry, editorial, commentary, or letter without eligible completed primary outcomes.</x:v>
      </x:c>
      <x:c r="R57" s="8" t="str">
        <x:v>2026-08-02 12:36 KST</x:v>
      </x:c>
    </x:row>
    <x:row r="58" ht="70" customHeight="1">
      <x:c r="A58" s="3" t="s">
        <x:v>478</x:v>
      </x:c>
      <x:c r="B58" s="3" t="s">
        <x:v>262</x:v>
      </x:c>
      <x:c r="C58" s="3" t="s">
        <x:v>479</x:v>
      </x:c>
      <x:c r="D58" s="3" t="s">
        <x:v>480</x:v>
      </x:c>
      <x:c r="E58" s="3" t="s">
        <x:v>481</x:v>
      </x:c>
      <x:c r="F58" s="3" t="s">
        <x:v>70</x:v>
      </x:c>
      <x:c r="G58" s="3" t="s">
        <x:v>482</x:v>
      </x:c>
      <x:c r="H58" s="3" t="s">
        <x:v>483</x:v>
      </x:c>
      <x:c r="I58" s="3"/>
      <x:c r="J58" s="3" t="s">
        <x:v>291</x:v>
      </x:c>
      <x:c r="K58" s="3"/>
      <x:c r="L58" s="3" t="s">
        <x:v>484</x:v>
      </x:c>
      <x:c r="M58" s="8" t="str">
        <x:v>Agent Reviewer 1</x:v>
      </x:c>
      <x:c r="N58" s="8" t="str">
        <x:v>Exclude</x:v>
      </x:c>
      <x:c r="O58" s="8" t="str">
        <x:v>Protocol, editorial, commentary, or review</x:v>
      </x:c>
      <x:c r="P58" s="8" t="str">
        <x:v>High</x:v>
      </x:c>
      <x:c r="Q58" s="8" t="str">
        <x:v>Protocol, registry, editorial, commentary, or letter without eligible completed primary outcomes.</x:v>
      </x:c>
      <x:c r="R58" s="8" t="str">
        <x:v>2026-08-02 12:36 KST</x:v>
      </x:c>
    </x:row>
    <x:row r="59" ht="70" customHeight="1">
      <x:c r="A59" s="3" t="s">
        <x:v>485</x:v>
      </x:c>
      <x:c r="B59" s="3" t="s">
        <x:v>262</x:v>
      </x:c>
      <x:c r="C59" s="3" t="s">
        <x:v>486</x:v>
      </x:c>
      <x:c r="D59" s="3" t="s">
        <x:v>487</x:v>
      </x:c>
      <x:c r="E59" s="3" t="s">
        <x:v>488</x:v>
      </x:c>
      <x:c r="F59" s="3" t="s">
        <x:v>347</x:v>
      </x:c>
      <x:c r="G59" s="3" t="s">
        <x:v>489</x:v>
      </x:c>
      <x:c r="H59" s="3" t="s">
        <x:v>490</x:v>
      </x:c>
      <x:c r="I59" s="3"/>
      <x:c r="J59" s="3" t="s">
        <x:v>291</x:v>
      </x:c>
      <x:c r="K59" s="3"/>
      <x:c r="L59" s="3" t="s">
        <x:v>491</x:v>
      </x:c>
      <x:c r="M59" s="8" t="str">
        <x:v>Agent Reviewer 1</x:v>
      </x:c>
      <x:c r="N59" s="8" t="str">
        <x:v>Exclude</x:v>
      </x:c>
      <x:c r="O59" s="8" t="str">
        <x:v>Protocol, editorial, commentary, or review</x:v>
      </x:c>
      <x:c r="P59" s="8" t="str">
        <x:v>High</x:v>
      </x:c>
      <x:c r="Q59" s="8" t="str">
        <x:v>Protocol, registry, editorial, commentary, or letter without eligible completed primary outcomes.</x:v>
      </x:c>
      <x:c r="R59" s="8" t="str">
        <x:v>2026-08-02 12:36 KST</x:v>
      </x:c>
    </x:row>
    <x:row r="60" ht="70" customHeight="1">
      <x:c r="A60" s="3" t="s">
        <x:v>492</x:v>
      </x:c>
      <x:c r="B60" s="3" t="s">
        <x:v>493</x:v>
      </x:c>
      <x:c r="C60" s="3" t="s">
        <x:v>494</x:v>
      </x:c>
      <x:c r="D60" s="3" t="s">
        <x:v>495</x:v>
      </x:c>
      <x:c r="E60" s="3" t="s">
        <x:v>496</x:v>
      </x:c>
      <x:c r="F60" s="3" t="s">
        <x:v>58</x:v>
      </x:c>
      <x:c r="G60" s="3" t="s">
        <x:v>497</x:v>
      </x:c>
      <x:c r="H60" s="3" t="s">
        <x:v>498</x:v>
      </x:c>
      <x:c r="I60" s="3"/>
      <x:c r="J60" s="3" t="s">
        <x:v>499</x:v>
      </x:c>
      <x:c r="K60" s="3" t="s">
        <x:v>500</x:v>
      </x:c>
      <x:c r="L60" s="3" t="s">
        <x:v>501</x:v>
      </x:c>
      <x:c r="M60" s="8" t="str">
        <x:v>Agent Reviewer 1</x:v>
      </x:c>
      <x:c r="N60" s="8" t="str">
        <x:v>Exclude</x:v>
      </x:c>
      <x:c r="O60" s="8" t="str">
        <x:v>No SGLT2 inhibitor exposure</x:v>
      </x:c>
      <x:c r="P60" s="8" t="str">
        <x:v>High</x:v>
      </x:c>
      <x:c r="Q60" s="8" t="str">
        <x:v>No SGLT2 inhibitor exposure or intervention identified.</x:v>
      </x:c>
      <x:c r="R60" s="8" t="str">
        <x:v>2026-08-02 12:36 KST</x:v>
      </x:c>
    </x:row>
    <x:row r="61" ht="70" customHeight="1">
      <x:c r="A61" s="3" t="s">
        <x:v>502</x:v>
      </x:c>
      <x:c r="B61" s="3" t="s">
        <x:v>493</x:v>
      </x:c>
      <x:c r="C61" s="3" t="s">
        <x:v>503</x:v>
      </x:c>
      <x:c r="D61" s="3" t="s">
        <x:v>504</x:v>
      </x:c>
      <x:c r="E61" s="3" t="s">
        <x:v>505</x:v>
      </x:c>
      <x:c r="F61" s="3" t="s">
        <x:v>58</x:v>
      </x:c>
      <x:c r="G61" s="3" t="s">
        <x:v>506</x:v>
      </x:c>
      <x:c r="H61" s="3" t="s">
        <x:v>507</x:v>
      </x:c>
      <x:c r="I61" s="3"/>
      <x:c r="J61" s="3" t="s">
        <x:v>499</x:v>
      </x:c>
      <x:c r="K61" s="3" t="s">
        <x:v>500</x:v>
      </x:c>
      <x:c r="L61" s="3" t="s">
        <x:v>508</x:v>
      </x:c>
      <x:c r="M61" s="8" t="str">
        <x:v>Agent Reviewer 1</x:v>
      </x:c>
      <x:c r="N61" s="8" t="str">
        <x:v>Exclude</x:v>
      </x:c>
      <x:c r="O61" s="8" t="str">
        <x:v>Protocol, editorial, commentary, or review</x:v>
      </x:c>
      <x:c r="P61" s="8" t="str">
        <x:v>High</x:v>
      </x:c>
      <x:c r="Q61" s="8" t="str">
        <x:v>Secondary review/meta-analysis rather than an eligible primary study.</x:v>
      </x:c>
      <x:c r="R61" s="8" t="str">
        <x:v>2026-08-02 12:36 KST</x:v>
      </x:c>
    </x:row>
    <x:row r="62" ht="70" customHeight="1">
      <x:c r="A62" s="3" t="s">
        <x:v>509</x:v>
      </x:c>
      <x:c r="B62" s="3" t="s">
        <x:v>493</x:v>
      </x:c>
      <x:c r="C62" s="3" t="s">
        <x:v>510</x:v>
      </x:c>
      <x:c r="D62" s="3" t="s">
        <x:v>511</x:v>
      </x:c>
      <x:c r="E62" s="3" t="s">
        <x:v>512</x:v>
      </x:c>
      <x:c r="F62" s="3" t="s">
        <x:v>58</x:v>
      </x:c>
      <x:c r="G62" s="3" t="s">
        <x:v>513</x:v>
      </x:c>
      <x:c r="H62" s="3" t="s">
        <x:v>514</x:v>
      </x:c>
      <x:c r="I62" s="3"/>
      <x:c r="J62" s="3" t="s">
        <x:v>499</x:v>
      </x:c>
      <x:c r="K62" s="3" t="s">
        <x:v>500</x:v>
      </x:c>
      <x:c r="L62" s="3" t="s">
        <x:v>515</x:v>
      </x:c>
      <x:c r="M62" s="8" t="str">
        <x:v>Agent Reviewer 1</x:v>
      </x:c>
      <x:c r="N62" s="8" t="str">
        <x:v>Exclude</x:v>
      </x:c>
      <x:c r="O62" s="8" t="str">
        <x:v>Not cardiac surgery</x:v>
      </x:c>
      <x:c r="P62" s="8" t="str">
        <x:v>High</x:v>
      </x:c>
      <x:c r="Q62" s="8" t="str">
        <x:v>Transcatheter intervention rather than open cardiac surgery.</x:v>
      </x:c>
      <x:c r="R62" s="8" t="str">
        <x:v>2026-08-02 12:36 KST</x:v>
      </x:c>
    </x:row>
    <x:row r="63" ht="70" customHeight="1">
      <x:c r="A63" s="3" t="s">
        <x:v>516</x:v>
      </x:c>
      <x:c r="B63" s="3" t="s">
        <x:v>493</x:v>
      </x:c>
      <x:c r="C63" s="3" t="s">
        <x:v>517</x:v>
      </x:c>
      <x:c r="D63" s="3" t="s">
        <x:v>518</x:v>
      </x:c>
      <x:c r="E63" s="3" t="s">
        <x:v>519</x:v>
      </x:c>
      <x:c r="F63" s="3" t="s">
        <x:v>58</x:v>
      </x:c>
      <x:c r="G63" s="3" t="s">
        <x:v>520</x:v>
      </x:c>
      <x:c r="H63" s="3" t="s">
        <x:v>521</x:v>
      </x:c>
      <x:c r="I63" s="3"/>
      <x:c r="J63" s="3" t="s">
        <x:v>499</x:v>
      </x:c>
      <x:c r="K63" s="3" t="s">
        <x:v>500</x:v>
      </x:c>
      <x:c r="L63" s="3" t="s">
        <x:v>522</x:v>
      </x:c>
      <x:c r="M63" s="8" t="str">
        <x:v>Agent Reviewer 1</x:v>
      </x:c>
      <x:c r="N63" s="8" t="str">
        <x:v>Include</x:v>
      </x:c>
      <x:c r="O63" s="8" t="str"/>
      <x:c r="P63" s="8" t="str">
        <x:v>High</x:v>
      </x:c>
      <x:c r="Q63" s="8" t="str">
        <x:v>Potentially eligible primary human study directly evaluating SGLT2 inhibitor exposure or intervention in a cardiac-surgery population.</x:v>
      </x:c>
      <x:c r="R63" s="8" t="str">
        <x:v>2026-08-02 12:36 KST</x:v>
      </x:c>
    </x:row>
    <x:row r="64" ht="70" customHeight="1">
      <x:c r="A64" s="3" t="s">
        <x:v>523</x:v>
      </x:c>
      <x:c r="B64" s="3" t="s">
        <x:v>493</x:v>
      </x:c>
      <x:c r="C64" s="3" t="s">
        <x:v>524</x:v>
      </x:c>
      <x:c r="D64" s="3" t="s">
        <x:v>525</x:v>
      </x:c>
      <x:c r="E64" s="3" t="s">
        <x:v>526</x:v>
      </x:c>
      <x:c r="F64" s="3" t="s">
        <x:v>58</x:v>
      </x:c>
      <x:c r="G64" s="3" t="s">
        <x:v>527</x:v>
      </x:c>
      <x:c r="H64" s="3" t="s">
        <x:v>528</x:v>
      </x:c>
      <x:c r="I64" s="3"/>
      <x:c r="J64" s="3" t="s">
        <x:v>499</x:v>
      </x:c>
      <x:c r="K64" s="3" t="s">
        <x:v>500</x:v>
      </x:c>
      <x:c r="L64" s="3" t="s">
        <x:v>529</x:v>
      </x:c>
      <x:c r="M64" s="8" t="str">
        <x:v>Agent Reviewer 1</x:v>
      </x:c>
      <x:c r="N64" s="8" t="str">
        <x:v>Exclude</x:v>
      </x:c>
      <x:c r="O64" s="8" t="str">
        <x:v>No SGLT2 inhibitor exposure</x:v>
      </x:c>
      <x:c r="P64" s="8" t="str">
        <x:v>High</x:v>
      </x:c>
      <x:c r="Q64" s="8" t="str">
        <x:v>No SGLT2 inhibitor exposure or intervention identified.</x:v>
      </x:c>
      <x:c r="R64" s="8" t="str">
        <x:v>2026-08-02 12:36 KST</x:v>
      </x:c>
    </x:row>
    <x:row r="65" ht="70" customHeight="1">
      <x:c r="A65" s="3" t="s">
        <x:v>530</x:v>
      </x:c>
      <x:c r="B65" s="3" t="s">
        <x:v>493</x:v>
      </x:c>
      <x:c r="C65" s="3" t="s">
        <x:v>531</x:v>
      </x:c>
      <x:c r="D65" s="3" t="s">
        <x:v>532</x:v>
      </x:c>
      <x:c r="E65" s="3" t="s">
        <x:v>533</x:v>
      </x:c>
      <x:c r="F65" s="3" t="s">
        <x:v>58</x:v>
      </x:c>
      <x:c r="G65" s="3" t="s">
        <x:v>513</x:v>
      </x:c>
      <x:c r="H65" s="3" t="s">
        <x:v>534</x:v>
      </x:c>
      <x:c r="I65" s="3"/>
      <x:c r="J65" s="3" t="s">
        <x:v>499</x:v>
      </x:c>
      <x:c r="K65" s="3" t="s">
        <x:v>500</x:v>
      </x:c>
      <x:c r="L65" s="3" t="s">
        <x:v>535</x:v>
      </x:c>
      <x:c r="M65" s="8" t="str">
        <x:v>Agent Reviewer 1</x:v>
      </x:c>
      <x:c r="N65" s="8" t="str">
        <x:v>Exclude</x:v>
      </x:c>
      <x:c r="O65" s="8" t="str">
        <x:v>No SGLT2 inhibitor exposure</x:v>
      </x:c>
      <x:c r="P65" s="8" t="str">
        <x:v>High</x:v>
      </x:c>
      <x:c r="Q65" s="8" t="str">
        <x:v>No SGLT2 inhibitor exposure or intervention identified.</x:v>
      </x:c>
      <x:c r="R65" s="8" t="str">
        <x:v>2026-08-02 12:36 KST</x:v>
      </x:c>
    </x:row>
    <x:row r="66" ht="70" customHeight="1">
      <x:c r="A66" s="3" t="s">
        <x:v>536</x:v>
      </x:c>
      <x:c r="B66" s="3" t="s">
        <x:v>493</x:v>
      </x:c>
      <x:c r="C66" s="3" t="s">
        <x:v>537</x:v>
      </x:c>
      <x:c r="D66" s="3" t="s">
        <x:v>538</x:v>
      </x:c>
      <x:c r="E66" s="3" t="s">
        <x:v>539</x:v>
      </x:c>
      <x:c r="F66" s="3" t="s">
        <x:v>58</x:v>
      </x:c>
      <x:c r="G66" s="3" t="s">
        <x:v>540</x:v>
      </x:c>
      <x:c r="H66" s="3" t="s">
        <x:v>541</x:v>
      </x:c>
      <x:c r="I66" s="3"/>
      <x:c r="J66" s="3" t="s">
        <x:v>499</x:v>
      </x:c>
      <x:c r="K66" s="3" t="s">
        <x:v>500</x:v>
      </x:c>
      <x:c r="L66" s="3" t="s">
        <x:v>542</x:v>
      </x:c>
      <x:c r="M66" s="8" t="str">
        <x:v>Agent Reviewer 1</x:v>
      </x:c>
      <x:c r="N66" s="8" t="str">
        <x:v>Exclude</x:v>
      </x:c>
      <x:c r="O66" s="8" t="str">
        <x:v>No SGLT2 inhibitor exposure</x:v>
      </x:c>
      <x:c r="P66" s="8" t="str">
        <x:v>High</x:v>
      </x:c>
      <x:c r="Q66" s="8" t="str">
        <x:v>No SGLT2 inhibitor exposure or intervention identified.</x:v>
      </x:c>
      <x:c r="R66" s="8" t="str">
        <x:v>2026-08-02 12:36 KST</x:v>
      </x:c>
    </x:row>
    <x:row r="67" ht="70" customHeight="1">
      <x:c r="A67" s="3" t="s">
        <x:v>543</x:v>
      </x:c>
      <x:c r="B67" s="3" t="s">
        <x:v>493</x:v>
      </x:c>
      <x:c r="C67" s="3" t="s">
        <x:v>544</x:v>
      </x:c>
      <x:c r="D67" s="3" t="s">
        <x:v>545</x:v>
      </x:c>
      <x:c r="E67" s="3" t="s">
        <x:v>546</x:v>
      </x:c>
      <x:c r="F67" s="3" t="s">
        <x:v>58</x:v>
      </x:c>
      <x:c r="G67" s="3" t="s">
        <x:v>547</x:v>
      </x:c>
      <x:c r="H67" s="3" t="s">
        <x:v>548</x:v>
      </x:c>
      <x:c r="I67" s="3"/>
      <x:c r="J67" s="3" t="s">
        <x:v>499</x:v>
      </x:c>
      <x:c r="K67" s="3" t="s">
        <x:v>500</x:v>
      </x:c>
      <x:c r="L67" s="3" t="s">
        <x:v>549</x:v>
      </x:c>
      <x:c r="M67" s="8" t="str">
        <x:v>Agent Reviewer 1</x:v>
      </x:c>
      <x:c r="N67" s="8" t="str">
        <x:v>Exclude</x:v>
      </x:c>
      <x:c r="O67" s="8" t="str">
        <x:v>Wrong population</x:v>
      </x:c>
      <x:c r="P67" s="8" t="str">
        <x:v>High</x:v>
      </x:c>
      <x:c r="Q67" s="8" t="str">
        <x:v>Study population is outside the target cardiac-surgery population.</x:v>
      </x:c>
      <x:c r="R67" s="8" t="str">
        <x:v>2026-08-02 12:36 KST</x:v>
      </x:c>
    </x:row>
    <x:row r="68" ht="70" customHeight="1">
      <x:c r="A68" s="3" t="s">
        <x:v>550</x:v>
      </x:c>
      <x:c r="B68" s="3" t="s">
        <x:v>493</x:v>
      </x:c>
      <x:c r="C68" s="3" t="s">
        <x:v>551</x:v>
      </x:c>
      <x:c r="D68" s="3" t="s">
        <x:v>552</x:v>
      </x:c>
      <x:c r="E68" s="3" t="s">
        <x:v>553</x:v>
      </x:c>
      <x:c r="F68" s="3" t="s">
        <x:v>58</x:v>
      </x:c>
      <x:c r="G68" s="3" t="s">
        <x:v>554</x:v>
      </x:c>
      <x:c r="H68" s="3" t="s">
        <x:v>555</x:v>
      </x:c>
      <x:c r="I68" s="3"/>
      <x:c r="J68" s="3" t="s">
        <x:v>499</x:v>
      </x:c>
      <x:c r="K68" s="3" t="s">
        <x:v>500</x:v>
      </x:c>
      <x:c r="L68" s="3" t="s">
        <x:v>556</x:v>
      </x:c>
      <x:c r="M68" s="8" t="str">
        <x:v>Agent Reviewer 1</x:v>
      </x:c>
      <x:c r="N68" s="8" t="str">
        <x:v>Exclude</x:v>
      </x:c>
      <x:c r="O68" s="8" t="str">
        <x:v>No SGLT2 inhibitor exposure</x:v>
      </x:c>
      <x:c r="P68" s="8" t="str">
        <x:v>High</x:v>
      </x:c>
      <x:c r="Q68" s="8" t="str">
        <x:v>No SGLT2 inhibitor exposure or intervention identified.</x:v>
      </x:c>
      <x:c r="R68" s="8" t="str">
        <x:v>2026-08-02 12:36 KST</x:v>
      </x:c>
    </x:row>
    <x:row r="69" ht="70" customHeight="1">
      <x:c r="A69" s="3" t="s">
        <x:v>557</x:v>
      </x:c>
      <x:c r="B69" s="3" t="s">
        <x:v>493</x:v>
      </x:c>
      <x:c r="C69" s="3" t="s">
        <x:v>558</x:v>
      </x:c>
      <x:c r="D69" s="3"/>
      <x:c r="E69" s="3" t="s">
        <x:v>559</x:v>
      </x:c>
      <x:c r="F69" s="3" t="s">
        <x:v>58</x:v>
      </x:c>
      <x:c r="G69" s="3" t="s">
        <x:v>520</x:v>
      </x:c>
      <x:c r="H69" s="3" t="s">
        <x:v>560</x:v>
      </x:c>
      <x:c r="I69" s="3"/>
      <x:c r="J69" s="3" t="s">
        <x:v>561</x:v>
      </x:c>
      <x:c r="K69" s="3" t="s">
        <x:v>500</x:v>
      </x:c>
      <x:c r="L69" s="3" t="s">
        <x:v>562</x:v>
      </x:c>
      <x:c r="M69" s="8" t="str">
        <x:v>Agent Reviewer 1</x:v>
      </x:c>
      <x:c r="N69" s="8" t="str">
        <x:v>Exclude</x:v>
      </x:c>
      <x:c r="O69" s="8" t="str">
        <x:v>Protocol, editorial, commentary, or review</x:v>
      </x:c>
      <x:c r="P69" s="8" t="str">
        <x:v>High</x:v>
      </x:c>
      <x:c r="Q69" s="8" t="str">
        <x:v>Protocol, registry, editorial, commentary, or letter without eligible completed primary outcomes.</x:v>
      </x:c>
      <x:c r="R69" s="8" t="str">
        <x:v>2026-08-02 12:36 KST</x:v>
      </x:c>
    </x:row>
    <x:row r="70" ht="70" customHeight="1">
      <x:c r="A70" s="3" t="s">
        <x:v>563</x:v>
      </x:c>
      <x:c r="B70" s="3" t="s">
        <x:v>493</x:v>
      </x:c>
      <x:c r="C70" s="3" t="s">
        <x:v>564</x:v>
      </x:c>
      <x:c r="D70" s="3"/>
      <x:c r="E70" s="3" t="s">
        <x:v>565</x:v>
      </x:c>
      <x:c r="F70" s="3" t="s">
        <x:v>58</x:v>
      </x:c>
      <x:c r="G70" s="3" t="s">
        <x:v>520</x:v>
      </x:c>
      <x:c r="H70" s="3" t="s">
        <x:v>566</x:v>
      </x:c>
      <x:c r="I70" s="3"/>
      <x:c r="J70" s="3" t="s">
        <x:v>561</x:v>
      </x:c>
      <x:c r="K70" s="3" t="s">
        <x:v>500</x:v>
      </x:c>
      <x:c r="L70" s="3" t="s">
        <x:v>567</x:v>
      </x:c>
      <x:c r="M70" s="8" t="str">
        <x:v>Agent Reviewer 1</x:v>
      </x:c>
      <x:c r="N70" s="8" t="str">
        <x:v>Exclude</x:v>
      </x:c>
      <x:c r="O70" s="8" t="str">
        <x:v>Protocol, editorial, commentary, or review</x:v>
      </x:c>
      <x:c r="P70" s="8" t="str">
        <x:v>High</x:v>
      </x:c>
      <x:c r="Q70" s="8" t="str">
        <x:v>Protocol, registry, editorial, commentary, or letter without eligible completed primary outcomes.</x:v>
      </x:c>
      <x:c r="R70" s="8" t="str">
        <x:v>2026-08-02 12:36 KST</x:v>
      </x:c>
    </x:row>
    <x:row r="71" ht="70" customHeight="1">
      <x:c r="A71" s="3" t="s">
        <x:v>568</x:v>
      </x:c>
      <x:c r="B71" s="3" t="s">
        <x:v>493</x:v>
      </x:c>
      <x:c r="C71" s="3" t="s">
        <x:v>569</x:v>
      </x:c>
      <x:c r="D71" s="3" t="s">
        <x:v>570</x:v>
      </x:c>
      <x:c r="E71" s="3" t="s">
        <x:v>571</x:v>
      </x:c>
      <x:c r="F71" s="3" t="s">
        <x:v>58</x:v>
      </x:c>
      <x:c r="G71" s="3" t="s">
        <x:v>572</x:v>
      </x:c>
      <x:c r="H71" s="3" t="s">
        <x:v>573</x:v>
      </x:c>
      <x:c r="I71" s="3"/>
      <x:c r="J71" s="3" t="s">
        <x:v>499</x:v>
      </x:c>
      <x:c r="K71" s="3" t="s">
        <x:v>500</x:v>
      </x:c>
      <x:c r="L71" s="3" t="s">
        <x:v>574</x:v>
      </x:c>
      <x:c r="M71" s="8" t="str">
        <x:v>Agent Reviewer 1</x:v>
      </x:c>
      <x:c r="N71" s="8" t="str">
        <x:v>Exclude</x:v>
      </x:c>
      <x:c r="O71" s="8" t="str">
        <x:v>Not cardiac surgery</x:v>
      </x:c>
      <x:c r="P71" s="8" t="str">
        <x:v>High</x:v>
      </x:c>
      <x:c r="Q71" s="8" t="str">
        <x:v>Transcatheter intervention rather than open cardiac surgery.</x:v>
      </x:c>
      <x:c r="R71" s="8" t="str">
        <x:v>2026-08-02 12:36 KST</x:v>
      </x:c>
    </x:row>
    <x:row r="72" ht="70" customHeight="1">
      <x:c r="A72" s="3" t="s">
        <x:v>575</x:v>
      </x:c>
      <x:c r="B72" s="3" t="s">
        <x:v>493</x:v>
      </x:c>
      <x:c r="C72" s="3" t="s">
        <x:v>576</x:v>
      </x:c>
      <x:c r="D72" s="3" t="s">
        <x:v>577</x:v>
      </x:c>
      <x:c r="E72" s="3" t="s">
        <x:v>578</x:v>
      </x:c>
      <x:c r="F72" s="3" t="s">
        <x:v>58</x:v>
      </x:c>
      <x:c r="G72" s="3" t="s">
        <x:v>579</x:v>
      </x:c>
      <x:c r="H72" s="3" t="s">
        <x:v>580</x:v>
      </x:c>
      <x:c r="I72" s="3"/>
      <x:c r="J72" s="3" t="s">
        <x:v>499</x:v>
      </x:c>
      <x:c r="K72" s="3" t="s">
        <x:v>500</x:v>
      </x:c>
      <x:c r="L72" s="3" t="s">
        <x:v>581</x:v>
      </x:c>
      <x:c r="M72" s="8" t="str">
        <x:v>Agent Reviewer 1</x:v>
      </x:c>
      <x:c r="N72" s="8" t="str">
        <x:v>Exclude</x:v>
      </x:c>
      <x:c r="O72" s="8" t="str">
        <x:v>No relevant clinical outcome</x:v>
      </x:c>
      <x:c r="P72" s="8" t="str">
        <x:v>Moderate</x:v>
      </x:c>
      <x:c r="Q72" s="8" t="str">
        <x:v>Cardiac-surgery context is present, but the study does not evaluate eligible clinical effects of SGLT2 inhibitor exposure.</x:v>
      </x:c>
      <x:c r="R72" s="8" t="str">
        <x:v>2026-08-02 12:36 KST</x:v>
      </x:c>
    </x:row>
    <x:row r="73" ht="70" customHeight="1">
      <x:c r="A73" s="3" t="s">
        <x:v>582</x:v>
      </x:c>
      <x:c r="B73" s="3" t="s">
        <x:v>493</x:v>
      </x:c>
      <x:c r="C73" s="3" t="s">
        <x:v>583</x:v>
      </x:c>
      <x:c r="D73" s="3" t="s">
        <x:v>584</x:v>
      </x:c>
      <x:c r="E73" s="3" t="s">
        <x:v>585</x:v>
      </x:c>
      <x:c r="F73" s="3" t="s">
        <x:v>58</x:v>
      </x:c>
      <x:c r="G73" s="3" t="s">
        <x:v>579</x:v>
      </x:c>
      <x:c r="H73" s="3" t="s">
        <x:v>586</x:v>
      </x:c>
      <x:c r="I73" s="3"/>
      <x:c r="J73" s="3" t="s">
        <x:v>499</x:v>
      </x:c>
      <x:c r="K73" s="3" t="s">
        <x:v>500</x:v>
      </x:c>
      <x:c r="L73" s="3" t="s">
        <x:v>587</x:v>
      </x:c>
      <x:c r="M73" s="8" t="str">
        <x:v>Agent Reviewer 1</x:v>
      </x:c>
      <x:c r="N73" s="8" t="str">
        <x:v>Exclude</x:v>
      </x:c>
      <x:c r="O73" s="8" t="str">
        <x:v>Not cardiac surgery</x:v>
      </x:c>
      <x:c r="P73" s="8" t="str">
        <x:v>High</x:v>
      </x:c>
      <x:c r="Q73" s="8" t="str">
        <x:v>Transcatheter intervention rather than open cardiac surgery.</x:v>
      </x:c>
      <x:c r="R73" s="8" t="str">
        <x:v>2026-08-02 12:36 KST</x:v>
      </x:c>
    </x:row>
    <x:row r="74" ht="70" customHeight="1">
      <x:c r="A74" s="3" t="s">
        <x:v>588</x:v>
      </x:c>
      <x:c r="B74" s="3" t="s">
        <x:v>493</x:v>
      </x:c>
      <x:c r="C74" s="3" t="s">
        <x:v>589</x:v>
      </x:c>
      <x:c r="D74" s="3" t="s">
        <x:v>590</x:v>
      </x:c>
      <x:c r="E74" s="3" t="s">
        <x:v>591</x:v>
      </x:c>
      <x:c r="F74" s="3" t="s">
        <x:v>58</x:v>
      </x:c>
      <x:c r="G74" s="3" t="s">
        <x:v>579</x:v>
      </x:c>
      <x:c r="H74" s="3" t="s">
        <x:v>592</x:v>
      </x:c>
      <x:c r="I74" s="3"/>
      <x:c r="J74" s="3" t="s">
        <x:v>499</x:v>
      </x:c>
      <x:c r="K74" s="3" t="s">
        <x:v>500</x:v>
      </x:c>
      <x:c r="L74" s="3" t="s">
        <x:v>593</x:v>
      </x:c>
      <x:c r="M74" s="8" t="str">
        <x:v>Agent Reviewer 1</x:v>
      </x:c>
      <x:c r="N74" s="8" t="str">
        <x:v>Exclude</x:v>
      </x:c>
      <x:c r="O74" s="8" t="str">
        <x:v>No SGLT2 inhibitor exposure</x:v>
      </x:c>
      <x:c r="P74" s="8" t="str">
        <x:v>High</x:v>
      </x:c>
      <x:c r="Q74" s="8" t="str">
        <x:v>No SGLT2 inhibitor exposure or intervention identified.</x:v>
      </x:c>
      <x:c r="R74" s="8" t="str">
        <x:v>2026-08-02 12:36 KST</x:v>
      </x:c>
    </x:row>
    <x:row r="75" ht="70" customHeight="1">
      <x:c r="A75" s="3" t="s">
        <x:v>594</x:v>
      </x:c>
      <x:c r="B75" s="3" t="s">
        <x:v>493</x:v>
      </x:c>
      <x:c r="C75" s="3" t="s">
        <x:v>595</x:v>
      </x:c>
      <x:c r="D75" s="3" t="s">
        <x:v>596</x:v>
      </x:c>
      <x:c r="E75" s="3" t="s">
        <x:v>597</x:v>
      </x:c>
      <x:c r="F75" s="3" t="s">
        <x:v>58</x:v>
      </x:c>
      <x:c r="G75" s="3" t="s">
        <x:v>598</x:v>
      </x:c>
      <x:c r="H75" s="3" t="s">
        <x:v>599</x:v>
      </x:c>
      <x:c r="I75" s="3"/>
      <x:c r="J75" s="3" t="s">
        <x:v>499</x:v>
      </x:c>
      <x:c r="K75" s="3" t="s">
        <x:v>500</x:v>
      </x:c>
      <x:c r="L75" s="3" t="s">
        <x:v>600</x:v>
      </x:c>
      <x:c r="M75" s="8" t="str">
        <x:v>Agent Reviewer 1</x:v>
      </x:c>
      <x:c r="N75" s="8" t="str">
        <x:v>Exclude</x:v>
      </x:c>
      <x:c r="O75" s="8" t="str">
        <x:v>No SGLT2 inhibitor exposure</x:v>
      </x:c>
      <x:c r="P75" s="8" t="str">
        <x:v>High</x:v>
      </x:c>
      <x:c r="Q75" s="8" t="str">
        <x:v>No SGLT2 inhibitor exposure or intervention identified.</x:v>
      </x:c>
      <x:c r="R75" s="8" t="str">
        <x:v>2026-08-02 12:36 KST</x:v>
      </x:c>
    </x:row>
    <x:row r="76" ht="70" customHeight="1">
      <x:c r="A76" s="3" t="s">
        <x:v>601</x:v>
      </x:c>
      <x:c r="B76" s="3" t="s">
        <x:v>493</x:v>
      </x:c>
      <x:c r="C76" s="3" t="s">
        <x:v>602</x:v>
      </x:c>
      <x:c r="D76" s="3" t="s">
        <x:v>603</x:v>
      </x:c>
      <x:c r="E76" s="3" t="s">
        <x:v>604</x:v>
      </x:c>
      <x:c r="F76" s="3" t="s">
        <x:v>58</x:v>
      </x:c>
      <x:c r="G76" s="3" t="s">
        <x:v>605</x:v>
      </x:c>
      <x:c r="H76" s="3" t="s">
        <x:v>606</x:v>
      </x:c>
      <x:c r="I76" s="3"/>
      <x:c r="J76" s="3" t="s">
        <x:v>499</x:v>
      </x:c>
      <x:c r="K76" s="3" t="s">
        <x:v>500</x:v>
      </x:c>
      <x:c r="L76" s="3" t="s">
        <x:v>607</x:v>
      </x:c>
      <x:c r="M76" s="8" t="str">
        <x:v>Agent Reviewer 1</x:v>
      </x:c>
      <x:c r="N76" s="8" t="str">
        <x:v>Exclude</x:v>
      </x:c>
      <x:c r="O76" s="8" t="str">
        <x:v>No SGLT2 inhibitor exposure</x:v>
      </x:c>
      <x:c r="P76" s="8" t="str">
        <x:v>High</x:v>
      </x:c>
      <x:c r="Q76" s="8" t="str">
        <x:v>No SGLT2 inhibitor exposure or intervention identified.</x:v>
      </x:c>
      <x:c r="R76" s="8" t="str">
        <x:v>2026-08-02 12:36 KST</x:v>
      </x:c>
    </x:row>
    <x:row r="77" ht="70" customHeight="1">
      <x:c r="A77" s="3" t="s">
        <x:v>608</x:v>
      </x:c>
      <x:c r="B77" s="3" t="s">
        <x:v>493</x:v>
      </x:c>
      <x:c r="C77" s="3" t="s">
        <x:v>609</x:v>
      </x:c>
      <x:c r="D77" s="3" t="s">
        <x:v>610</x:v>
      </x:c>
      <x:c r="E77" s="3" t="s">
        <x:v>611</x:v>
      </x:c>
      <x:c r="F77" s="3" t="s">
        <x:v>58</x:v>
      </x:c>
      <x:c r="G77" s="3" t="s">
        <x:v>612</x:v>
      </x:c>
      <x:c r="H77" s="3" t="s">
        <x:v>613</x:v>
      </x:c>
      <x:c r="I77" s="3"/>
      <x:c r="J77" s="3" t="s">
        <x:v>499</x:v>
      </x:c>
      <x:c r="K77" s="3" t="s">
        <x:v>500</x:v>
      </x:c>
      <x:c r="L77" s="3" t="s">
        <x:v>614</x:v>
      </x:c>
      <x:c r="M77" s="8" t="str">
        <x:v>Agent Reviewer 1</x:v>
      </x:c>
      <x:c r="N77" s="8" t="str">
        <x:v>Exclude</x:v>
      </x:c>
      <x:c r="O77" s="8" t="str">
        <x:v>No SGLT2 inhibitor exposure</x:v>
      </x:c>
      <x:c r="P77" s="8" t="str">
        <x:v>High</x:v>
      </x:c>
      <x:c r="Q77" s="8" t="str">
        <x:v>No SGLT2 inhibitor exposure or intervention identified.</x:v>
      </x:c>
      <x:c r="R77" s="8" t="str">
        <x:v>2026-08-02 12:36 KST</x:v>
      </x:c>
    </x:row>
    <x:row r="78" ht="70" customHeight="1">
      <x:c r="A78" s="3" t="s">
        <x:v>615</x:v>
      </x:c>
      <x:c r="B78" s="3" t="s">
        <x:v>493</x:v>
      </x:c>
      <x:c r="C78" s="3" t="s">
        <x:v>616</x:v>
      </x:c>
      <x:c r="D78" s="3" t="s">
        <x:v>617</x:v>
      </x:c>
      <x:c r="E78" s="3" t="s">
        <x:v>618</x:v>
      </x:c>
      <x:c r="F78" s="3" t="s">
        <x:v>58</x:v>
      </x:c>
      <x:c r="G78" s="3" t="s">
        <x:v>619</x:v>
      </x:c>
      <x:c r="H78" s="3" t="s">
        <x:v>620</x:v>
      </x:c>
      <x:c r="I78" s="3"/>
      <x:c r="J78" s="3" t="s">
        <x:v>499</x:v>
      </x:c>
      <x:c r="K78" s="3" t="s">
        <x:v>500</x:v>
      </x:c>
      <x:c r="L78" s="3" t="s">
        <x:v>621</x:v>
      </x:c>
      <x:c r="M78" s="8" t="str">
        <x:v>Agent Reviewer 1</x:v>
      </x:c>
      <x:c r="N78" s="8" t="str">
        <x:v>Exclude</x:v>
      </x:c>
      <x:c r="O78" s="8" t="str">
        <x:v>No SGLT2 inhibitor exposure</x:v>
      </x:c>
      <x:c r="P78" s="8" t="str">
        <x:v>High</x:v>
      </x:c>
      <x:c r="Q78" s="8" t="str">
        <x:v>No SGLT2 inhibitor exposure or intervention identified.</x:v>
      </x:c>
      <x:c r="R78" s="8" t="str">
        <x:v>2026-08-02 12:36 KST</x:v>
      </x:c>
    </x:row>
    <x:row r="79" ht="70" customHeight="1">
      <x:c r="A79" s="3" t="s">
        <x:v>622</x:v>
      </x:c>
      <x:c r="B79" s="3" t="s">
        <x:v>493</x:v>
      </x:c>
      <x:c r="C79" s="3" t="s">
        <x:v>623</x:v>
      </x:c>
      <x:c r="D79" s="3" t="s">
        <x:v>624</x:v>
      </x:c>
      <x:c r="E79" s="3" t="s">
        <x:v>625</x:v>
      </x:c>
      <x:c r="F79" s="3" t="s">
        <x:v>58</x:v>
      </x:c>
      <x:c r="G79" s="3" t="s">
        <x:v>626</x:v>
      </x:c>
      <x:c r="H79" s="3" t="s">
        <x:v>627</x:v>
      </x:c>
      <x:c r="I79" s="3"/>
      <x:c r="J79" s="3" t="s">
        <x:v>499</x:v>
      </x:c>
      <x:c r="K79" s="3" t="s">
        <x:v>500</x:v>
      </x:c>
      <x:c r="L79" s="3" t="s">
        <x:v>628</x:v>
      </x:c>
      <x:c r="M79" s="8" t="str">
        <x:v>Agent Reviewer 1</x:v>
      </x:c>
      <x:c r="N79" s="8" t="str">
        <x:v>Exclude</x:v>
      </x:c>
      <x:c r="O79" s="8" t="str">
        <x:v>Protocol, editorial, commentary, or review</x:v>
      </x:c>
      <x:c r="P79" s="8" t="str">
        <x:v>High</x:v>
      </x:c>
      <x:c r="Q79" s="8" t="str">
        <x:v>Protocol, registry, editorial, commentary, or letter without eligible completed primary outcomes.</x:v>
      </x:c>
      <x:c r="R79" s="8" t="str">
        <x:v>2026-08-02 12:36 KST</x:v>
      </x:c>
    </x:row>
    <x:row r="80" ht="70" customHeight="1">
      <x:c r="A80" s="3" t="s">
        <x:v>629</x:v>
      </x:c>
      <x:c r="B80" s="3" t="s">
        <x:v>493</x:v>
      </x:c>
      <x:c r="C80" s="3" t="s">
        <x:v>630</x:v>
      </x:c>
      <x:c r="D80" s="3" t="s">
        <x:v>631</x:v>
      </x:c>
      <x:c r="E80" s="3" t="s">
        <x:v>632</x:v>
      </x:c>
      <x:c r="F80" s="3" t="s">
        <x:v>58</x:v>
      </x:c>
      <x:c r="G80" s="3" t="s">
        <x:v>633</x:v>
      </x:c>
      <x:c r="H80" s="3" t="s">
        <x:v>634</x:v>
      </x:c>
      <x:c r="I80" s="3"/>
      <x:c r="J80" s="3" t="s">
        <x:v>499</x:v>
      </x:c>
      <x:c r="K80" s="3" t="s">
        <x:v>500</x:v>
      </x:c>
      <x:c r="L80" s="3" t="s">
        <x:v>635</x:v>
      </x:c>
      <x:c r="M80" s="8" t="str">
        <x:v>Agent Reviewer 1</x:v>
      </x:c>
      <x:c r="N80" s="8" t="str">
        <x:v>Exclude</x:v>
      </x:c>
      <x:c r="O80" s="8" t="str">
        <x:v>Not cardiac surgery</x:v>
      </x:c>
      <x:c r="P80" s="8" t="str">
        <x:v>High</x:v>
      </x:c>
      <x:c r="Q80" s="8" t="str">
        <x:v>Population or procedure is not cardiac surgery.</x:v>
      </x:c>
      <x:c r="R80" s="8" t="str">
        <x:v>2026-08-02 12:36 KST</x:v>
      </x:c>
    </x:row>
    <x:row r="81" ht="70" customHeight="1">
      <x:c r="A81" s="3" t="s">
        <x:v>636</x:v>
      </x:c>
      <x:c r="B81" s="3" t="s">
        <x:v>493</x:v>
      </x:c>
      <x:c r="C81" s="3" t="s">
        <x:v>637</x:v>
      </x:c>
      <x:c r="D81" s="3" t="s">
        <x:v>638</x:v>
      </x:c>
      <x:c r="E81" s="3" t="s">
        <x:v>639</x:v>
      </x:c>
      <x:c r="F81" s="3" t="s">
        <x:v>58</x:v>
      </x:c>
      <x:c r="G81" s="3" t="s">
        <x:v>640</x:v>
      </x:c>
      <x:c r="H81" s="3" t="s">
        <x:v>641</x:v>
      </x:c>
      <x:c r="I81" s="3"/>
      <x:c r="J81" s="3" t="s">
        <x:v>499</x:v>
      </x:c>
      <x:c r="K81" s="3" t="s">
        <x:v>500</x:v>
      </x:c>
      <x:c r="L81" s="3" t="s">
        <x:v>642</x:v>
      </x:c>
      <x:c r="M81" s="8" t="str">
        <x:v>Agent Reviewer 1</x:v>
      </x:c>
      <x:c r="N81" s="8" t="str">
        <x:v>Exclude</x:v>
      </x:c>
      <x:c r="O81" s="8" t="str">
        <x:v>No SGLT2 inhibitor exposure</x:v>
      </x:c>
      <x:c r="P81" s="8" t="str">
        <x:v>High</x:v>
      </x:c>
      <x:c r="Q81" s="8" t="str">
        <x:v>No SGLT2 inhibitor exposure or intervention identified.</x:v>
      </x:c>
      <x:c r="R81" s="8" t="str">
        <x:v>2026-08-02 12:36 KST</x:v>
      </x:c>
    </x:row>
    <x:row r="82" ht="70" customHeight="1">
      <x:c r="A82" s="3" t="s">
        <x:v>643</x:v>
      </x:c>
      <x:c r="B82" s="3" t="s">
        <x:v>493</x:v>
      </x:c>
      <x:c r="C82" s="3" t="s">
        <x:v>644</x:v>
      </x:c>
      <x:c r="D82" s="3" t="s">
        <x:v>645</x:v>
      </x:c>
      <x:c r="E82" s="3" t="s">
        <x:v>646</x:v>
      </x:c>
      <x:c r="F82" s="3" t="s">
        <x:v>58</x:v>
      </x:c>
      <x:c r="G82" s="3" t="s">
        <x:v>647</x:v>
      </x:c>
      <x:c r="H82" s="3" t="s">
        <x:v>648</x:v>
      </x:c>
      <x:c r="I82" s="3"/>
      <x:c r="J82" s="3" t="s">
        <x:v>499</x:v>
      </x:c>
      <x:c r="K82" s="3" t="s">
        <x:v>500</x:v>
      </x:c>
      <x:c r="L82" s="3" t="s">
        <x:v>649</x:v>
      </x:c>
      <x:c r="M82" s="8" t="str">
        <x:v>Agent Reviewer 1</x:v>
      </x:c>
      <x:c r="N82" s="8" t="str">
        <x:v>Exclude</x:v>
      </x:c>
      <x:c r="O82" s="8" t="str">
        <x:v>No SGLT2 inhibitor exposure</x:v>
      </x:c>
      <x:c r="P82" s="8" t="str">
        <x:v>High</x:v>
      </x:c>
      <x:c r="Q82" s="8" t="str">
        <x:v>No SGLT2 inhibitor exposure or intervention identified.</x:v>
      </x:c>
      <x:c r="R82" s="8" t="str">
        <x:v>2026-08-02 12:36 KST</x:v>
      </x:c>
    </x:row>
    <x:row r="83" ht="70" customHeight="1">
      <x:c r="A83" s="3" t="s">
        <x:v>650</x:v>
      </x:c>
      <x:c r="B83" s="3" t="s">
        <x:v>651</x:v>
      </x:c>
      <x:c r="C83" s="3" t="s">
        <x:v>652</x:v>
      </x:c>
      <x:c r="D83" s="3" t="s">
        <x:v>653</x:v>
      </x:c>
      <x:c r="E83" s="3" t="s">
        <x:v>654</x:v>
      </x:c>
      <x:c r="F83" s="3" t="s">
        <x:v>58</x:v>
      </x:c>
      <x:c r="G83" s="3" t="s">
        <x:v>655</x:v>
      </x:c>
      <x:c r="H83" s="3" t="s">
        <x:v>656</x:v>
      </x:c>
      <x:c r="I83" s="3" t="s">
        <x:v>657</x:v>
      </x:c>
      <x:c r="J83" s="3" t="s">
        <x:v>658</x:v>
      </x:c>
      <x:c r="K83" s="3" t="s">
        <x:v>75</x:v>
      </x:c>
      <x:c r="L83" s="3" t="s">
        <x:v>659</x:v>
      </x:c>
      <x:c r="M83" s="8" t="str">
        <x:v>Agent Reviewer 1</x:v>
      </x:c>
      <x:c r="N83" s="8" t="str">
        <x:v>Include</x:v>
      </x:c>
      <x:c r="O83" s="8" t="str"/>
      <x:c r="P83" s="8" t="str">
        <x:v>High</x:v>
      </x:c>
      <x:c r="Q83" s="8" t="str">
        <x:v>Potentially eligible primary human study directly evaluating SGLT2 inhibitor exposure or intervention in a cardiac-surgery population.</x:v>
      </x:c>
      <x:c r="R83" s="8" t="str">
        <x:v>2026-08-02 12:36 KST</x:v>
      </x:c>
    </x:row>
    <x:row r="84" ht="70" customHeight="1">
      <x:c r="A84" s="3" t="s">
        <x:v>660</x:v>
      </x:c>
      <x:c r="B84" s="3" t="s">
        <x:v>651</x:v>
      </x:c>
      <x:c r="C84" s="3" t="s">
        <x:v>661</x:v>
      </x:c>
      <x:c r="D84" s="3" t="s">
        <x:v>662</x:v>
      </x:c>
      <x:c r="E84" s="3" t="s">
        <x:v>663</x:v>
      </x:c>
      <x:c r="F84" s="3" t="s">
        <x:v>58</x:v>
      </x:c>
      <x:c r="G84" s="3" t="s">
        <x:v>664</x:v>
      </x:c>
      <x:c r="H84" s="3" t="s">
        <x:v>665</x:v>
      </x:c>
      <x:c r="I84" s="3" t="s">
        <x:v>666</x:v>
      </x:c>
      <x:c r="J84" s="3" t="s">
        <x:v>667</x:v>
      </x:c>
      <x:c r="K84" s="3" t="s">
        <x:v>75</x:v>
      </x:c>
      <x:c r="L84" s="3" t="s">
        <x:v>668</x:v>
      </x:c>
      <x:c r="M84" s="8" t="str">
        <x:v>Agent Reviewer 1</x:v>
      </x:c>
      <x:c r="N84" s="8" t="str">
        <x:v>Exclude</x:v>
      </x:c>
      <x:c r="O84" s="8" t="str">
        <x:v>Protocol, editorial, commentary, or review</x:v>
      </x:c>
      <x:c r="P84" s="8" t="str">
        <x:v>High</x:v>
      </x:c>
      <x:c r="Q84" s="8" t="str">
        <x:v>Secondary review/meta-analysis rather than an eligible primary study.</x:v>
      </x:c>
      <x:c r="R84" s="8" t="str">
        <x:v>2026-08-02 12:36 KST</x:v>
      </x:c>
    </x:row>
    <x:row r="85" ht="70" customHeight="1">
      <x:c r="A85" s="3" t="s">
        <x:v>669</x:v>
      </x:c>
      <x:c r="B85" s="3" t="s">
        <x:v>651</x:v>
      </x:c>
      <x:c r="C85" s="3" t="s">
        <x:v>670</x:v>
      </x:c>
      <x:c r="D85" s="3" t="s">
        <x:v>671</x:v>
      </x:c>
      <x:c r="E85" s="3" t="s">
        <x:v>672</x:v>
      </x:c>
      <x:c r="F85" s="3" t="s">
        <x:v>58</x:v>
      </x:c>
      <x:c r="G85" s="3" t="s">
        <x:v>673</x:v>
      </x:c>
      <x:c r="H85" s="3" t="s">
        <x:v>674</x:v>
      </x:c>
      <x:c r="I85" s="3" t="s">
        <x:v>675</x:v>
      </x:c>
      <x:c r="J85" s="3" t="s">
        <x:v>658</x:v>
      </x:c>
      <x:c r="K85" s="3" t="s">
        <x:v>75</x:v>
      </x:c>
      <x:c r="L85" s="3" t="s">
        <x:v>676</x:v>
      </x:c>
      <x:c r="M85" s="8" t="str">
        <x:v>Agent Reviewer 1</x:v>
      </x:c>
      <x:c r="N85" s="8" t="str">
        <x:v>Exclude</x:v>
      </x:c>
      <x:c r="O85" s="8" t="str">
        <x:v>No relevant clinical outcome</x:v>
      </x:c>
      <x:c r="P85" s="8" t="str">
        <x:v>Moderate</x:v>
      </x:c>
      <x:c r="Q85" s="8" t="str">
        <x:v>Cardiac-surgery context is present, but the study does not evaluate eligible clinical effects of SGLT2 inhibitor exposure.</x:v>
      </x:c>
      <x:c r="R85" s="8" t="str">
        <x:v>2026-08-02 12:36 KST</x:v>
      </x:c>
    </x:row>
    <x:row r="86" ht="70" customHeight="1">
      <x:c r="A86" s="3" t="s">
        <x:v>677</x:v>
      </x:c>
      <x:c r="B86" s="3" t="s">
        <x:v>651</x:v>
      </x:c>
      <x:c r="C86" s="3" t="s">
        <x:v>678</x:v>
      </x:c>
      <x:c r="D86" s="3" t="s">
        <x:v>679</x:v>
      </x:c>
      <x:c r="E86" s="3" t="s">
        <x:v>680</x:v>
      </x:c>
      <x:c r="F86" s="3" t="s">
        <x:v>58</x:v>
      </x:c>
      <x:c r="G86" s="3" t="s">
        <x:v>681</x:v>
      </x:c>
      <x:c r="H86" s="3" t="s">
        <x:v>682</x:v>
      </x:c>
      <x:c r="I86" s="3" t="s">
        <x:v>683</x:v>
      </x:c>
      <x:c r="J86" s="3" t="s">
        <x:v>658</x:v>
      </x:c>
      <x:c r="K86" s="3" t="s">
        <x:v>75</x:v>
      </x:c>
      <x:c r="L86" s="3" t="s">
        <x:v>684</x:v>
      </x:c>
      <x:c r="M86" s="8" t="str">
        <x:v>Agent Reviewer 1</x:v>
      </x:c>
      <x:c r="N86" s="8" t="str">
        <x:v>Include</x:v>
      </x:c>
      <x:c r="O86" s="8" t="str"/>
      <x:c r="P86" s="8" t="str">
        <x:v>High</x:v>
      </x:c>
      <x:c r="Q86" s="8" t="str">
        <x:v>Potentially eligible primary human study directly evaluating SGLT2 inhibitor exposure or intervention in a cardiac-surgery population.</x:v>
      </x:c>
      <x:c r="R86" s="8" t="str">
        <x:v>2026-08-02 12:36 KST</x:v>
      </x:c>
    </x:row>
    <x:row r="87" ht="70" customHeight="1">
      <x:c r="A87" s="3" t="s">
        <x:v>685</x:v>
      </x:c>
      <x:c r="B87" s="3" t="s">
        <x:v>651</x:v>
      </x:c>
      <x:c r="C87" s="3" t="s">
        <x:v>686</x:v>
      </x:c>
      <x:c r="D87" s="3" t="s">
        <x:v>687</x:v>
      </x:c>
      <x:c r="E87" s="3" t="s">
        <x:v>688</x:v>
      </x:c>
      <x:c r="F87" s="3" t="s">
        <x:v>58</x:v>
      </x:c>
      <x:c r="G87" s="3" t="s">
        <x:v>689</x:v>
      </x:c>
      <x:c r="H87" s="3" t="s">
        <x:v>690</x:v>
      </x:c>
      <x:c r="I87" s="3" t="s">
        <x:v>691</x:v>
      </x:c>
      <x:c r="J87" s="3" t="s">
        <x:v>692</x:v>
      </x:c>
      <x:c r="K87" s="3" t="s">
        <x:v>75</x:v>
      </x:c>
      <x:c r="L87" s="3" t="s">
        <x:v>693</x:v>
      </x:c>
      <x:c r="M87" s="8" t="str">
        <x:v>Agent Reviewer 1</x:v>
      </x:c>
      <x:c r="N87" s="8" t="str">
        <x:v>Exclude</x:v>
      </x:c>
      <x:c r="O87" s="8" t="str">
        <x:v>Protocol, editorial, commentary, or review</x:v>
      </x:c>
      <x:c r="P87" s="8" t="str">
        <x:v>High</x:v>
      </x:c>
      <x:c r="Q87" s="8" t="str">
        <x:v>Secondary review/meta-analysis rather than an eligible primary study.</x:v>
      </x:c>
      <x:c r="R87" s="8" t="str">
        <x:v>2026-08-02 12:36 KST</x:v>
      </x:c>
    </x:row>
    <x:row r="88" ht="70" customHeight="1">
      <x:c r="A88" s="3" t="s">
        <x:v>694</x:v>
      </x:c>
      <x:c r="B88" s="3" t="s">
        <x:v>651</x:v>
      </x:c>
      <x:c r="C88" s="3" t="s">
        <x:v>695</x:v>
      </x:c>
      <x:c r="D88" s="3" t="s">
        <x:v>696</x:v>
      </x:c>
      <x:c r="E88" s="3" t="s">
        <x:v>697</x:v>
      </x:c>
      <x:c r="F88" s="3" t="s">
        <x:v>58</x:v>
      </x:c>
      <x:c r="G88" s="3" t="s">
        <x:v>698</x:v>
      </x:c>
      <x:c r="H88" s="3" t="s">
        <x:v>699</x:v>
      </x:c>
      <x:c r="I88" s="3" t="s">
        <x:v>700</x:v>
      </x:c>
      <x:c r="J88" s="3" t="s">
        <x:v>701</x:v>
      </x:c>
      <x:c r="K88" s="3" t="s">
        <x:v>75</x:v>
      </x:c>
      <x:c r="L88" s="3" t="s">
        <x:v>702</x:v>
      </x:c>
      <x:c r="M88" s="8" t="str">
        <x:v>Agent Reviewer 1</x:v>
      </x:c>
      <x:c r="N88" s="8" t="str">
        <x:v>Exclude</x:v>
      </x:c>
      <x:c r="O88" s="8" t="str">
        <x:v>Wrong study design</x:v>
      </x:c>
      <x:c r="P88" s="8" t="str">
        <x:v>High</x:v>
      </x:c>
      <x:c r="Q88" s="8" t="str">
        <x:v>Case report or case series; not an eligible comparative/cohort study.</x:v>
      </x:c>
      <x:c r="R88" s="8" t="str">
        <x:v>2026-08-02 12:36 KST</x:v>
      </x:c>
    </x:row>
    <x:row r="89" ht="70" customHeight="1">
      <x:c r="A89" s="3" t="s">
        <x:v>703</x:v>
      </x:c>
      <x:c r="B89" s="3" t="s">
        <x:v>651</x:v>
      </x:c>
      <x:c r="C89" s="3" t="s">
        <x:v>704</x:v>
      </x:c>
      <x:c r="D89" s="3" t="s">
        <x:v>705</x:v>
      </x:c>
      <x:c r="E89" s="3" t="s">
        <x:v>706</x:v>
      </x:c>
      <x:c r="F89" s="3" t="s">
        <x:v>58</x:v>
      </x:c>
      <x:c r="G89" s="3" t="s">
        <x:v>707</x:v>
      </x:c>
      <x:c r="H89" s="3" t="s">
        <x:v>708</x:v>
      </x:c>
      <x:c r="I89" s="3" t="s">
        <x:v>709</x:v>
      </x:c>
      <x:c r="J89" s="3" t="s">
        <x:v>658</x:v>
      </x:c>
      <x:c r="K89" s="3" t="s">
        <x:v>75</x:v>
      </x:c>
      <x:c r="L89" s="3" t="s">
        <x:v>710</x:v>
      </x:c>
      <x:c r="M89" s="8" t="str">
        <x:v>Agent Reviewer 1</x:v>
      </x:c>
      <x:c r="N89" s="8" t="str">
        <x:v>Include</x:v>
      </x:c>
      <x:c r="O89" s="8" t="str"/>
      <x:c r="P89" s="8" t="str">
        <x:v>High</x:v>
      </x:c>
      <x:c r="Q89" s="8" t="str">
        <x:v>Potentially eligible primary human study directly evaluating SGLT2 inhibitor exposure or intervention in a cardiac-surgery population.</x:v>
      </x:c>
      <x:c r="R89" s="8" t="str">
        <x:v>2026-08-02 12:36 KST</x:v>
      </x:c>
    </x:row>
    <x:row r="90" ht="70" customHeight="1">
      <x:c r="A90" s="3" t="s">
        <x:v>711</x:v>
      </x:c>
      <x:c r="B90" s="3" t="s">
        <x:v>651</x:v>
      </x:c>
      <x:c r="C90" s="3" t="s">
        <x:v>712</x:v>
      </x:c>
      <x:c r="D90" s="3"/>
      <x:c r="E90" s="3" t="s">
        <x:v>713</x:v>
      </x:c>
      <x:c r="F90" s="3" t="s">
        <x:v>58</x:v>
      </x:c>
      <x:c r="G90" s="3" t="s">
        <x:v>714</x:v>
      </x:c>
      <x:c r="H90" s="3" t="s">
        <x:v>715</x:v>
      </x:c>
      <x:c r="I90" s="3" t="s">
        <x:v>716</x:v>
      </x:c>
      <x:c r="J90" s="3" t="s">
        <x:v>658</x:v>
      </x:c>
      <x:c r="K90" s="3" t="s">
        <x:v>75</x:v>
      </x:c>
      <x:c r="L90" s="3" t="s">
        <x:v>717</x:v>
      </x:c>
      <x:c r="M90" s="8" t="str">
        <x:v>Agent Reviewer 1</x:v>
      </x:c>
      <x:c r="N90" s="8" t="str">
        <x:v>Include</x:v>
      </x:c>
      <x:c r="O90" s="8" t="str"/>
      <x:c r="P90" s="8" t="str">
        <x:v>Moderate</x:v>
      </x:c>
      <x:c r="Q90" s="8" t="str">
        <x:v>Potentially eligible primary human study directly evaluating SGLT2 inhibitor exposure or intervention in a cardiac-surgery population.</x:v>
      </x:c>
      <x:c r="R90" s="8" t="str">
        <x:v>2026-08-02 12:36 KST</x:v>
      </x:c>
    </x:row>
    <x:row r="91" ht="70" customHeight="1">
      <x:c r="A91" s="3" t="s">
        <x:v>718</x:v>
      </x:c>
      <x:c r="B91" s="3" t="s">
        <x:v>651</x:v>
      </x:c>
      <x:c r="C91" s="3" t="s">
        <x:v>719</x:v>
      </x:c>
      <x:c r="D91" s="3" t="s">
        <x:v>720</x:v>
      </x:c>
      <x:c r="E91" s="3" t="s">
        <x:v>721</x:v>
      </x:c>
      <x:c r="F91" s="3" t="s">
        <x:v>58</x:v>
      </x:c>
      <x:c r="G91" s="3" t="s">
        <x:v>722</x:v>
      </x:c>
      <x:c r="H91" s="3" t="s">
        <x:v>723</x:v>
      </x:c>
      <x:c r="I91" s="3" t="s">
        <x:v>724</x:v>
      </x:c>
      <x:c r="J91" s="3" t="s">
        <x:v>658</x:v>
      </x:c>
      <x:c r="K91" s="3" t="s">
        <x:v>75</x:v>
      </x:c>
      <x:c r="L91" s="3" t="s">
        <x:v>725</x:v>
      </x:c>
      <x:c r="M91" s="8" t="str">
        <x:v>Agent Reviewer 1</x:v>
      </x:c>
      <x:c r="N91" s="8" t="str">
        <x:v>Exclude</x:v>
      </x:c>
      <x:c r="O91" s="8" t="str">
        <x:v>Not cardiac surgery</x:v>
      </x:c>
      <x:c r="P91" s="8" t="str">
        <x:v>High</x:v>
      </x:c>
      <x:c r="Q91" s="8" t="str">
        <x:v>Transcatheter intervention rather than open cardiac surgery.</x:v>
      </x:c>
      <x:c r="R91" s="8" t="str">
        <x:v>2026-08-02 12:36 KST</x:v>
      </x:c>
    </x:row>
    <x:row r="92" ht="70" customHeight="1">
      <x:c r="A92" s="3" t="s">
        <x:v>726</x:v>
      </x:c>
      <x:c r="B92" s="3" t="s">
        <x:v>651</x:v>
      </x:c>
      <x:c r="C92" s="3" t="s">
        <x:v>727</x:v>
      </x:c>
      <x:c r="D92" s="3" t="s">
        <x:v>728</x:v>
      </x:c>
      <x:c r="E92" s="3" t="s">
        <x:v>729</x:v>
      </x:c>
      <x:c r="F92" s="3" t="s">
        <x:v>58</x:v>
      </x:c>
      <x:c r="G92" s="3" t="s">
        <x:v>730</x:v>
      </x:c>
      <x:c r="H92" s="3" t="s">
        <x:v>731</x:v>
      </x:c>
      <x:c r="I92" s="3" t="s">
        <x:v>732</x:v>
      </x:c>
      <x:c r="J92" s="3" t="s">
        <x:v>733</x:v>
      </x:c>
      <x:c r="K92" s="3" t="s">
        <x:v>75</x:v>
      </x:c>
      <x:c r="L92" s="3" t="s">
        <x:v>734</x:v>
      </x:c>
      <x:c r="M92" s="8" t="str">
        <x:v>Agent Reviewer 1</x:v>
      </x:c>
      <x:c r="N92" s="8" t="str">
        <x:v>Exclude</x:v>
      </x:c>
      <x:c r="O92" s="8" t="str">
        <x:v>Protocol, editorial, commentary, or review</x:v>
      </x:c>
      <x:c r="P92" s="8" t="str">
        <x:v>High</x:v>
      </x:c>
      <x:c r="Q92" s="8" t="str">
        <x:v>Secondary review/meta-analysis rather than an eligible primary study.</x:v>
      </x:c>
      <x:c r="R92" s="8" t="str">
        <x:v>2026-08-02 12:36 KST</x:v>
      </x:c>
    </x:row>
    <x:row r="93" ht="70" customHeight="1">
      <x:c r="A93" s="3" t="s">
        <x:v>735</x:v>
      </x:c>
      <x:c r="B93" s="3" t="s">
        <x:v>651</x:v>
      </x:c>
      <x:c r="C93" s="3" t="s">
        <x:v>736</x:v>
      </x:c>
      <x:c r="D93" s="3" t="s">
        <x:v>737</x:v>
      </x:c>
      <x:c r="E93" s="3" t="s">
        <x:v>738</x:v>
      </x:c>
      <x:c r="F93" s="3" t="s">
        <x:v>58</x:v>
      </x:c>
      <x:c r="G93" s="3" t="s">
        <x:v>173</x:v>
      </x:c>
      <x:c r="H93" s="3" t="s">
        <x:v>739</x:v>
      </x:c>
      <x:c r="I93" s="3" t="s">
        <x:v>740</x:v>
      </x:c>
      <x:c r="J93" s="3" t="s">
        <x:v>658</x:v>
      </x:c>
      <x:c r="K93" s="3" t="s">
        <x:v>75</x:v>
      </x:c>
      <x:c r="L93" s="3" t="s">
        <x:v>741</x:v>
      </x:c>
      <x:c r="M93" s="8" t="str">
        <x:v>Agent Reviewer 1</x:v>
      </x:c>
      <x:c r="N93" s="8" t="str">
        <x:v>Exclude</x:v>
      </x:c>
      <x:c r="O93" s="8" t="str">
        <x:v>Protocol, editorial, commentary, or review</x:v>
      </x:c>
      <x:c r="P93" s="8" t="str">
        <x:v>High</x:v>
      </x:c>
      <x:c r="Q93" s="8" t="str">
        <x:v>Secondary review/meta-analysis rather than an eligible primary study.</x:v>
      </x:c>
      <x:c r="R93" s="8" t="str">
        <x:v>2026-08-02 12:36 KST</x:v>
      </x:c>
    </x:row>
    <x:row r="94" ht="70" customHeight="1">
      <x:c r="A94" s="3" t="s">
        <x:v>742</x:v>
      </x:c>
      <x:c r="B94" s="3" t="s">
        <x:v>651</x:v>
      </x:c>
      <x:c r="C94" s="3" t="s">
        <x:v>743</x:v>
      </x:c>
      <x:c r="D94" s="3" t="s">
        <x:v>744</x:v>
      </x:c>
      <x:c r="E94" s="3" t="s">
        <x:v>745</x:v>
      </x:c>
      <x:c r="F94" s="3" t="s">
        <x:v>58</x:v>
      </x:c>
      <x:c r="G94" s="3" t="s">
        <x:v>746</x:v>
      </x:c>
      <x:c r="H94" s="3" t="s">
        <x:v>747</x:v>
      </x:c>
      <x:c r="I94" s="3" t="s">
        <x:v>748</x:v>
      </x:c>
      <x:c r="J94" s="3" t="s">
        <x:v>658</x:v>
      </x:c>
      <x:c r="K94" s="3" t="s">
        <x:v>75</x:v>
      </x:c>
      <x:c r="L94" s="3" t="s">
        <x:v>749</x:v>
      </x:c>
      <x:c r="M94" s="8" t="str">
        <x:v>Agent Reviewer 1</x:v>
      </x:c>
      <x:c r="N94" s="8" t="str">
        <x:v>Include</x:v>
      </x:c>
      <x:c r="O94" s="8" t="str"/>
      <x:c r="P94" s="8" t="str">
        <x:v>High</x:v>
      </x:c>
      <x:c r="Q94" s="8" t="str">
        <x:v>Potentially eligible primary human study directly evaluating SGLT2 inhibitor exposure or intervention in a cardiac-surgery population.</x:v>
      </x:c>
      <x:c r="R94" s="8" t="str">
        <x:v>2026-08-02 12:36 KST</x:v>
      </x:c>
    </x:row>
    <x:row r="95" ht="70" customHeight="1">
      <x:c r="A95" s="3" t="s">
        <x:v>750</x:v>
      </x:c>
      <x:c r="B95" s="3" t="s">
        <x:v>651</x:v>
      </x:c>
      <x:c r="C95" s="3" t="s">
        <x:v>751</x:v>
      </x:c>
      <x:c r="D95" s="3" t="s">
        <x:v>752</x:v>
      </x:c>
      <x:c r="E95" s="3" t="s">
        <x:v>753</x:v>
      </x:c>
      <x:c r="F95" s="3" t="s">
        <x:v>58</x:v>
      </x:c>
      <x:c r="G95" s="3" t="s">
        <x:v>754</x:v>
      </x:c>
      <x:c r="H95" s="3" t="s">
        <x:v>755</x:v>
      </x:c>
      <x:c r="I95" s="3" t="s">
        <x:v>756</x:v>
      </x:c>
      <x:c r="J95" s="3" t="s">
        <x:v>757</x:v>
      </x:c>
      <x:c r="K95" s="3" t="s">
        <x:v>75</x:v>
      </x:c>
      <x:c r="L95" s="3" t="s">
        <x:v>758</x:v>
      </x:c>
      <x:c r="M95" s="8" t="str">
        <x:v>Agent Reviewer 1</x:v>
      </x:c>
      <x:c r="N95" s="8" t="str">
        <x:v>Exclude</x:v>
      </x:c>
      <x:c r="O95" s="8" t="str">
        <x:v>Protocol, editorial, commentary, or review</x:v>
      </x:c>
      <x:c r="P95" s="8" t="str">
        <x:v>High</x:v>
      </x:c>
      <x:c r="Q95" s="8" t="str">
        <x:v>Secondary review/meta-analysis rather than an eligible primary study.</x:v>
      </x:c>
      <x:c r="R95" s="8" t="str">
        <x:v>2026-08-02 12:36 KST</x:v>
      </x:c>
    </x:row>
    <x:row r="96" ht="70" customHeight="1">
      <x:c r="A96" s="3" t="s">
        <x:v>759</x:v>
      </x:c>
      <x:c r="B96" s="3" t="s">
        <x:v>651</x:v>
      </x:c>
      <x:c r="C96" s="3" t="s">
        <x:v>760</x:v>
      </x:c>
      <x:c r="D96" s="3" t="s">
        <x:v>761</x:v>
      </x:c>
      <x:c r="E96" s="3" t="s">
        <x:v>762</x:v>
      </x:c>
      <x:c r="F96" s="3" t="s">
        <x:v>58</x:v>
      </x:c>
      <x:c r="G96" s="3" t="s">
        <x:v>763</x:v>
      </x:c>
      <x:c r="H96" s="3" t="s">
        <x:v>764</x:v>
      </x:c>
      <x:c r="I96" s="3" t="s">
        <x:v>765</x:v>
      </x:c>
      <x:c r="J96" s="3" t="s">
        <x:v>658</x:v>
      </x:c>
      <x:c r="K96" s="3" t="s">
        <x:v>75</x:v>
      </x:c>
      <x:c r="L96" s="3" t="s">
        <x:v>766</x:v>
      </x:c>
      <x:c r="M96" s="8" t="str">
        <x:v>Agent Reviewer 1</x:v>
      </x:c>
      <x:c r="N96" s="8" t="str">
        <x:v>Exclude</x:v>
      </x:c>
      <x:c r="O96" s="8" t="str">
        <x:v>Not cardiac surgery</x:v>
      </x:c>
      <x:c r="P96" s="8" t="str">
        <x:v>High</x:v>
      </x:c>
      <x:c r="Q96" s="8" t="str">
        <x:v>Transcatheter intervention rather than open cardiac surgery.</x:v>
      </x:c>
      <x:c r="R96" s="8" t="str">
        <x:v>2026-08-02 12:36 KST</x:v>
      </x:c>
    </x:row>
    <x:row r="97" ht="70" customHeight="1">
      <x:c r="A97" s="3" t="s">
        <x:v>767</x:v>
      </x:c>
      <x:c r="B97" s="3" t="s">
        <x:v>651</x:v>
      </x:c>
      <x:c r="C97" s="3" t="s">
        <x:v>768</x:v>
      </x:c>
      <x:c r="D97" s="3" t="s">
        <x:v>769</x:v>
      </x:c>
      <x:c r="E97" s="3" t="s">
        <x:v>770</x:v>
      </x:c>
      <x:c r="F97" s="3" t="s">
        <x:v>58</x:v>
      </x:c>
      <x:c r="G97" s="3" t="s">
        <x:v>771</x:v>
      </x:c>
      <x:c r="H97" s="3" t="s">
        <x:v>772</x:v>
      </x:c>
      <x:c r="I97" s="3" t="s">
        <x:v>773</x:v>
      </x:c>
      <x:c r="J97" s="3" t="s">
        <x:v>774</x:v>
      </x:c>
      <x:c r="K97" s="3" t="s">
        <x:v>75</x:v>
      </x:c>
      <x:c r="L97" s="3" t="s">
        <x:v>775</x:v>
      </x:c>
      <x:c r="M97" s="8" t="str">
        <x:v>Agent Reviewer 1</x:v>
      </x:c>
      <x:c r="N97" s="8" t="str">
        <x:v>Exclude</x:v>
      </x:c>
      <x:c r="O97" s="8" t="str">
        <x:v>Protocol, editorial, commentary, or review</x:v>
      </x:c>
      <x:c r="P97" s="8" t="str">
        <x:v>High</x:v>
      </x:c>
      <x:c r="Q97" s="8" t="str">
        <x:v>Secondary review/meta-analysis rather than an eligible primary study.</x:v>
      </x:c>
      <x:c r="R97" s="8" t="str">
        <x:v>2026-08-02 12:36 KST</x:v>
      </x:c>
    </x:row>
    <x:row r="98" ht="70" customHeight="1">
      <x:c r="A98" s="3" t="s">
        <x:v>776</x:v>
      </x:c>
      <x:c r="B98" s="3" t="s">
        <x:v>651</x:v>
      </x:c>
      <x:c r="C98" s="3" t="s">
        <x:v>777</x:v>
      </x:c>
      <x:c r="D98" s="3" t="s">
        <x:v>778</x:v>
      </x:c>
      <x:c r="E98" s="3" t="s">
        <x:v>779</x:v>
      </x:c>
      <x:c r="F98" s="3" t="s">
        <x:v>58</x:v>
      </x:c>
      <x:c r="G98" s="3" t="s">
        <x:v>780</x:v>
      </x:c>
      <x:c r="H98" s="3" t="s">
        <x:v>781</x:v>
      </x:c>
      <x:c r="I98" s="3" t="s">
        <x:v>782</x:v>
      </x:c>
      <x:c r="J98" s="3" t="s">
        <x:v>783</x:v>
      </x:c>
      <x:c r="K98" s="3" t="s">
        <x:v>75</x:v>
      </x:c>
      <x:c r="L98" s="3" t="s">
        <x:v>784</x:v>
      </x:c>
      <x:c r="M98" s="8" t="str">
        <x:v>Agent Reviewer 1</x:v>
      </x:c>
      <x:c r="N98" s="8" t="str">
        <x:v>Exclude</x:v>
      </x:c>
      <x:c r="O98" s="8" t="str">
        <x:v>Not cardiac surgery</x:v>
      </x:c>
      <x:c r="P98" s="8" t="str">
        <x:v>High</x:v>
      </x:c>
      <x:c r="Q98" s="8" t="str">
        <x:v>Population or procedure is not cardiac surgery.</x:v>
      </x:c>
      <x:c r="R98" s="8" t="str">
        <x:v>2026-08-02 12:36 KST</x:v>
      </x:c>
    </x:row>
    <x:row r="99" ht="70" customHeight="1">
      <x:c r="A99" s="3" t="s">
        <x:v>785</x:v>
      </x:c>
      <x:c r="B99" s="3" t="s">
        <x:v>651</x:v>
      </x:c>
      <x:c r="C99" s="3" t="s">
        <x:v>786</x:v>
      </x:c>
      <x:c r="D99" s="3" t="s">
        <x:v>787</x:v>
      </x:c>
      <x:c r="E99" s="3" t="s">
        <x:v>788</x:v>
      </x:c>
      <x:c r="F99" s="3" t="s">
        <x:v>58</x:v>
      </x:c>
      <x:c r="G99" s="3" t="s">
        <x:v>754</x:v>
      </x:c>
      <x:c r="H99" s="3" t="s">
        <x:v>789</x:v>
      </x:c>
      <x:c r="I99" s="3" t="s">
        <x:v>790</x:v>
      </x:c>
      <x:c r="J99" s="3" t="s">
        <x:v>658</x:v>
      </x:c>
      <x:c r="K99" s="3" t="s">
        <x:v>75</x:v>
      </x:c>
      <x:c r="L99" s="3" t="s">
        <x:v>791</x:v>
      </x:c>
      <x:c r="M99" s="8" t="str">
        <x:v>Agent Reviewer 1</x:v>
      </x:c>
      <x:c r="N99" s="8" t="str">
        <x:v>Include</x:v>
      </x:c>
      <x:c r="O99" s="8" t="str"/>
      <x:c r="P99" s="8" t="str">
        <x:v>High</x:v>
      </x:c>
      <x:c r="Q99" s="8" t="str">
        <x:v>Potentially eligible primary human study directly evaluating SGLT2 inhibitor exposure or intervention in a cardiac-surgery population.</x:v>
      </x:c>
      <x:c r="R99" s="8" t="str">
        <x:v>2026-08-02 12:36 KST</x:v>
      </x:c>
    </x:row>
    <x:row r="100" ht="70" customHeight="1">
      <x:c r="A100" s="3" t="s">
        <x:v>792</x:v>
      </x:c>
      <x:c r="B100" s="3" t="s">
        <x:v>651</x:v>
      </x:c>
      <x:c r="C100" s="3" t="s">
        <x:v>793</x:v>
      </x:c>
      <x:c r="D100" s="3" t="s">
        <x:v>794</x:v>
      </x:c>
      <x:c r="E100" s="3" t="s">
        <x:v>795</x:v>
      </x:c>
      <x:c r="F100" s="3" t="s">
        <x:v>58</x:v>
      </x:c>
      <x:c r="G100" s="3" t="s">
        <x:v>796</x:v>
      </x:c>
      <x:c r="H100" s="3" t="s">
        <x:v>797</x:v>
      </x:c>
      <x:c r="I100" s="3" t="s">
        <x:v>798</x:v>
      </x:c>
      <x:c r="J100" s="3" t="s">
        <x:v>757</x:v>
      </x:c>
      <x:c r="K100" s="3" t="s">
        <x:v>75</x:v>
      </x:c>
      <x:c r="L100" s="3" t="s">
        <x:v>799</x:v>
      </x:c>
      <x:c r="M100" s="8" t="str">
        <x:v>Agent Reviewer 1</x:v>
      </x:c>
      <x:c r="N100" s="8" t="str">
        <x:v>Exclude</x:v>
      </x:c>
      <x:c r="O100" s="8" t="str">
        <x:v>Protocol, editorial, commentary, or review</x:v>
      </x:c>
      <x:c r="P100" s="8" t="str">
        <x:v>High</x:v>
      </x:c>
      <x:c r="Q100" s="8" t="str">
        <x:v>Secondary review/meta-analysis rather than an eligible primary study.</x:v>
      </x:c>
      <x:c r="R100" s="8" t="str">
        <x:v>2026-08-02 12:36 KST</x:v>
      </x:c>
    </x:row>
    <x:row r="101" ht="70" customHeight="1">
      <x:c r="A101" s="3" t="s">
        <x:v>800</x:v>
      </x:c>
      <x:c r="B101" s="3" t="s">
        <x:v>651</x:v>
      </x:c>
      <x:c r="C101" s="3" t="s">
        <x:v>801</x:v>
      </x:c>
      <x:c r="D101" s="3" t="s">
        <x:v>802</x:v>
      </x:c>
      <x:c r="E101" s="3" t="s">
        <x:v>803</x:v>
      </x:c>
      <x:c r="F101" s="3" t="s">
        <x:v>70</x:v>
      </x:c>
      <x:c r="G101" s="3" t="s">
        <x:v>804</x:v>
      </x:c>
      <x:c r="H101" s="3" t="s">
        <x:v>805</x:v>
      </x:c>
      <x:c r="I101" s="3" t="s">
        <x:v>806</x:v>
      </x:c>
      <x:c r="J101" s="3" t="s">
        <x:v>658</x:v>
      </x:c>
      <x:c r="K101" s="3" t="s">
        <x:v>75</x:v>
      </x:c>
      <x:c r="L101" s="3" t="s">
        <x:v>807</x:v>
      </x:c>
      <x:c r="M101" s="8" t="str">
        <x:v>Agent Reviewer 1</x:v>
      </x:c>
      <x:c r="N101" s="8" t="str">
        <x:v>Exclude</x:v>
      </x:c>
      <x:c r="O101" s="8" t="str">
        <x:v>Wrong population</x:v>
      </x:c>
      <x:c r="P101" s="8" t="str">
        <x:v>High</x:v>
      </x:c>
      <x:c r="Q101" s="8" t="str">
        <x:v>Study population is outside the target cardiac-surgery population.</x:v>
      </x:c>
      <x:c r="R101" s="8" t="str">
        <x:v>2026-08-02 12:36 KST</x:v>
      </x:c>
    </x:row>
    <x:row r="102" ht="70" customHeight="1">
      <x:c r="A102" s="3" t="s">
        <x:v>808</x:v>
      </x:c>
      <x:c r="B102" s="3" t="s">
        <x:v>651</x:v>
      </x:c>
      <x:c r="C102" s="3" t="s">
        <x:v>809</x:v>
      </x:c>
      <x:c r="D102" s="3" t="s">
        <x:v>810</x:v>
      </x:c>
      <x:c r="E102" s="3" t="s">
        <x:v>811</x:v>
      </x:c>
      <x:c r="F102" s="3" t="s">
        <x:v>58</x:v>
      </x:c>
      <x:c r="G102" s="3" t="s">
        <x:v>256</x:v>
      </x:c>
      <x:c r="H102" s="3" t="s">
        <x:v>812</x:v>
      </x:c>
      <x:c r="I102" s="3" t="s">
        <x:v>813</x:v>
      </x:c>
      <x:c r="J102" s="3" t="s">
        <x:v>814</x:v>
      </x:c>
      <x:c r="K102" s="3" t="s">
        <x:v>75</x:v>
      </x:c>
      <x:c r="L102" s="3" t="s">
        <x:v>815</x:v>
      </x:c>
      <x:c r="M102" s="8" t="str">
        <x:v>Agent Reviewer 1</x:v>
      </x:c>
      <x:c r="N102" s="8" t="str">
        <x:v>Include</x:v>
      </x:c>
      <x:c r="O102" s="8" t="str"/>
      <x:c r="P102" s="8" t="str">
        <x:v>High</x:v>
      </x:c>
      <x:c r="Q102" s="8" t="str">
        <x:v>Potentially eligible primary human study directly evaluating SGLT2 inhibitor exposure or intervention in a cardiac-surgery population.</x:v>
      </x:c>
      <x:c r="R102" s="8" t="str">
        <x:v>2026-08-02 12:36 KST</x:v>
      </x:c>
    </x:row>
    <x:row r="103" ht="70" customHeight="1">
      <x:c r="A103" s="3" t="s">
        <x:v>816</x:v>
      </x:c>
      <x:c r="B103" s="3" t="s">
        <x:v>651</x:v>
      </x:c>
      <x:c r="C103" s="3" t="s">
        <x:v>817</x:v>
      </x:c>
      <x:c r="D103" s="3" t="s">
        <x:v>818</x:v>
      </x:c>
      <x:c r="E103" s="3" t="s">
        <x:v>819</x:v>
      </x:c>
      <x:c r="F103" s="3" t="s">
        <x:v>70</x:v>
      </x:c>
      <x:c r="G103" s="3" t="s">
        <x:v>681</x:v>
      </x:c>
      <x:c r="H103" s="3" t="s">
        <x:v>820</x:v>
      </x:c>
      <x:c r="I103" s="3" t="s">
        <x:v>821</x:v>
      </x:c>
      <x:c r="J103" s="3" t="s">
        <x:v>658</x:v>
      </x:c>
      <x:c r="K103" s="3" t="s">
        <x:v>75</x:v>
      </x:c>
      <x:c r="L103" s="3" t="s">
        <x:v>822</x:v>
      </x:c>
      <x:c r="M103" s="8" t="str">
        <x:v>Agent Reviewer 1</x:v>
      </x:c>
      <x:c r="N103" s="8" t="str">
        <x:v>Exclude</x:v>
      </x:c>
      <x:c r="O103" s="8" t="str">
        <x:v>Wrong population</x:v>
      </x:c>
      <x:c r="P103" s="8" t="str">
        <x:v>High</x:v>
      </x:c>
      <x:c r="Q103" s="8" t="str">
        <x:v>Prior revascularization history rather than a current cardiac-surgery cohort.</x:v>
      </x:c>
      <x:c r="R103" s="8" t="str">
        <x:v>2026-08-02 12:36 KST</x:v>
      </x:c>
    </x:row>
    <x:row r="104" ht="70" customHeight="1">
      <x:c r="A104" s="3" t="s">
        <x:v>823</x:v>
      </x:c>
      <x:c r="B104" s="3" t="s">
        <x:v>651</x:v>
      </x:c>
      <x:c r="C104" s="3" t="s">
        <x:v>824</x:v>
      </x:c>
      <x:c r="D104" s="3" t="s">
        <x:v>825</x:v>
      </x:c>
      <x:c r="E104" s="3" t="s">
        <x:v>826</x:v>
      </x:c>
      <x:c r="F104" s="3" t="s">
        <x:v>58</x:v>
      </x:c>
      <x:c r="G104" s="3" t="s">
        <x:v>827</x:v>
      </x:c>
      <x:c r="H104" s="3" t="s">
        <x:v>828</x:v>
      </x:c>
      <x:c r="I104" s="3" t="s">
        <x:v>829</x:v>
      </x:c>
      <x:c r="J104" s="3" t="s">
        <x:v>830</x:v>
      </x:c>
      <x:c r="K104" s="3" t="s">
        <x:v>75</x:v>
      </x:c>
      <x:c r="L104" s="3" t="s">
        <x:v>831</x:v>
      </x:c>
      <x:c r="M104" s="8" t="str">
        <x:v>Agent Reviewer 1</x:v>
      </x:c>
      <x:c r="N104" s="8" t="str">
        <x:v>Include</x:v>
      </x:c>
      <x:c r="O104" s="8" t="str"/>
      <x:c r="P104" s="8" t="str">
        <x:v>High</x:v>
      </x:c>
      <x:c r="Q104" s="8" t="str">
        <x:v>Potentially eligible primary human study directly evaluating SGLT2 inhibitor exposure or intervention in a cardiac-surgery population.</x:v>
      </x:c>
      <x:c r="R104" s="8" t="str">
        <x:v>2026-08-02 12:36 KST</x:v>
      </x:c>
    </x:row>
    <x:row r="105" ht="70" customHeight="1">
      <x:c r="A105" s="3" t="s">
        <x:v>832</x:v>
      </x:c>
      <x:c r="B105" s="3" t="s">
        <x:v>651</x:v>
      </x:c>
      <x:c r="C105" s="3" t="s">
        <x:v>833</x:v>
      </x:c>
      <x:c r="D105" s="3" t="s">
        <x:v>834</x:v>
      </x:c>
      <x:c r="E105" s="3" t="s">
        <x:v>835</x:v>
      </x:c>
      <x:c r="F105" s="3" t="s">
        <x:v>58</x:v>
      </x:c>
      <x:c r="G105" s="3" t="s">
        <x:v>836</x:v>
      </x:c>
      <x:c r="H105" s="3" t="s">
        <x:v>837</x:v>
      </x:c>
      <x:c r="I105" s="3" t="s">
        <x:v>838</x:v>
      </x:c>
      <x:c r="J105" s="3" t="s">
        <x:v>658</x:v>
      </x:c>
      <x:c r="K105" s="3" t="s">
        <x:v>75</x:v>
      </x:c>
      <x:c r="L105" s="3" t="s">
        <x:v>839</x:v>
      </x:c>
      <x:c r="M105" s="8" t="str">
        <x:v>Agent Reviewer 1</x:v>
      </x:c>
      <x:c r="N105" s="8" t="str">
        <x:v>Exclude</x:v>
      </x:c>
      <x:c r="O105" s="8" t="str">
        <x:v>Animal or laboratory study</x:v>
      </x:c>
      <x:c r="P105" s="8" t="str">
        <x:v>High</x:v>
      </x:c>
      <x:c r="Q105" s="8" t="str">
        <x:v>Animal, ex vivo, or mechanistic laboratory study without eligible clinical surgical outcomes.</x:v>
      </x:c>
      <x:c r="R105" s="8" t="str">
        <x:v>2026-08-02 12:36 KST</x:v>
      </x:c>
    </x:row>
    <x:row r="106" ht="70" customHeight="1">
      <x:c r="A106" s="3" t="s">
        <x:v>840</x:v>
      </x:c>
      <x:c r="B106" s="3" t="s">
        <x:v>651</x:v>
      </x:c>
      <x:c r="C106" s="3" t="s">
        <x:v>841</x:v>
      </x:c>
      <x:c r="D106" s="3" t="s">
        <x:v>842</x:v>
      </x:c>
      <x:c r="E106" s="3" t="s">
        <x:v>843</x:v>
      </x:c>
      <x:c r="F106" s="3" t="s">
        <x:v>70</x:v>
      </x:c>
      <x:c r="G106" s="3" t="s">
        <x:v>796</x:v>
      </x:c>
      <x:c r="H106" s="3" t="s">
        <x:v>844</x:v>
      </x:c>
      <x:c r="I106" s="3" t="s">
        <x:v>845</x:v>
      </x:c>
      <x:c r="J106" s="3" t="s">
        <x:v>658</x:v>
      </x:c>
      <x:c r="K106" s="3" t="s">
        <x:v>75</x:v>
      </x:c>
      <x:c r="L106" s="3" t="s">
        <x:v>846</x:v>
      </x:c>
      <x:c r="M106" s="8" t="str">
        <x:v>Agent Reviewer 1</x:v>
      </x:c>
      <x:c r="N106" s="8" t="str">
        <x:v>Exclude</x:v>
      </x:c>
      <x:c r="O106" s="8" t="str">
        <x:v>Animal or laboratory study</x:v>
      </x:c>
      <x:c r="P106" s="8" t="str">
        <x:v>High</x:v>
      </x:c>
      <x:c r="Q106" s="8" t="str">
        <x:v>Animal, ex vivo, or mechanistic laboratory study without eligible clinical surgical outcomes.</x:v>
      </x:c>
      <x:c r="R106" s="8" t="str">
        <x:v>2026-08-02 12:36 KST</x:v>
      </x:c>
    </x:row>
    <x:row r="107" ht="70" customHeight="1">
      <x:c r="A107" s="3" t="s">
        <x:v>847</x:v>
      </x:c>
      <x:c r="B107" s="3" t="s">
        <x:v>651</x:v>
      </x:c>
      <x:c r="C107" s="3" t="s">
        <x:v>848</x:v>
      </x:c>
      <x:c r="D107" s="3" t="s">
        <x:v>849</x:v>
      </x:c>
      <x:c r="E107" s="3" t="s">
        <x:v>850</x:v>
      </x:c>
      <x:c r="F107" s="3" t="s">
        <x:v>58</x:v>
      </x:c>
      <x:c r="G107" s="3" t="s">
        <x:v>851</x:v>
      </x:c>
      <x:c r="H107" s="3" t="s">
        <x:v>852</x:v>
      </x:c>
      <x:c r="I107" s="3" t="s">
        <x:v>853</x:v>
      </x:c>
      <x:c r="J107" s="3" t="s">
        <x:v>658</x:v>
      </x:c>
      <x:c r="K107" s="3" t="s">
        <x:v>75</x:v>
      </x:c>
      <x:c r="L107" s="3" t="s">
        <x:v>854</x:v>
      </x:c>
      <x:c r="M107" s="8" t="str">
        <x:v>Agent Reviewer 1</x:v>
      </x:c>
      <x:c r="N107" s="8" t="str">
        <x:v>Exclude</x:v>
      </x:c>
      <x:c r="O107" s="8" t="str">
        <x:v>No relevant clinical outcome</x:v>
      </x:c>
      <x:c r="P107" s="8" t="str">
        <x:v>Moderate</x:v>
      </x:c>
      <x:c r="Q107" s="8" t="str">
        <x:v>Cardiac-surgery context is present, but the study does not evaluate eligible clinical effects of SGLT2 inhibitor exposure.</x:v>
      </x:c>
      <x:c r="R107" s="8" t="str">
        <x:v>2026-08-02 12:36 KST</x:v>
      </x:c>
    </x:row>
    <x:row r="108" ht="70" customHeight="1">
      <x:c r="A108" s="3" t="s">
        <x:v>855</x:v>
      </x:c>
      <x:c r="B108" s="3" t="s">
        <x:v>651</x:v>
      </x:c>
      <x:c r="C108" s="3" t="s">
        <x:v>856</x:v>
      </x:c>
      <x:c r="D108" s="3" t="s">
        <x:v>857</x:v>
      </x:c>
      <x:c r="E108" s="3" t="s">
        <x:v>858</x:v>
      </x:c>
      <x:c r="F108" s="3" t="s">
        <x:v>58</x:v>
      </x:c>
      <x:c r="G108" s="3" t="s">
        <x:v>859</x:v>
      </x:c>
      <x:c r="H108" s="3" t="s">
        <x:v>860</x:v>
      </x:c>
      <x:c r="I108" s="3" t="s">
        <x:v>861</x:v>
      </x:c>
      <x:c r="J108" s="3" t="s">
        <x:v>783</x:v>
      </x:c>
      <x:c r="K108" s="3" t="s">
        <x:v>862</x:v>
      </x:c>
      <x:c r="L108" s="3" t="s">
        <x:v>863</x:v>
      </x:c>
      <x:c r="M108" s="8" t="str">
        <x:v>Agent Reviewer 1</x:v>
      </x:c>
      <x:c r="N108" s="8" t="str">
        <x:v>Exclude</x:v>
      </x:c>
      <x:c r="O108" s="8" t="str">
        <x:v>Not cardiac surgery</x:v>
      </x:c>
      <x:c r="P108" s="8" t="str">
        <x:v>High</x:v>
      </x:c>
      <x:c r="Q108" s="8" t="str">
        <x:v>Transcatheter intervention rather than open cardiac surgery.</x:v>
      </x:c>
      <x:c r="R108" s="8" t="str">
        <x:v>2026-08-02 12:36 KST</x:v>
      </x:c>
    </x:row>
    <x:row r="109" ht="70" customHeight="1">
      <x:c r="A109" s="3" t="s">
        <x:v>864</x:v>
      </x:c>
      <x:c r="B109" s="3" t="s">
        <x:v>651</x:v>
      </x:c>
      <x:c r="C109" s="3" t="s">
        <x:v>865</x:v>
      </x:c>
      <x:c r="D109" s="3" t="s">
        <x:v>866</x:v>
      </x:c>
      <x:c r="E109" s="3" t="s">
        <x:v>867</x:v>
      </x:c>
      <x:c r="F109" s="3" t="s">
        <x:v>70</x:v>
      </x:c>
      <x:c r="G109" s="3" t="s">
        <x:v>868</x:v>
      </x:c>
      <x:c r="H109" s="3" t="s">
        <x:v>869</x:v>
      </x:c>
      <x:c r="I109" s="3" t="s">
        <x:v>870</x:v>
      </x:c>
      <x:c r="J109" s="3" t="s">
        <x:v>871</x:v>
      </x:c>
      <x:c r="K109" s="3" t="s">
        <x:v>75</x:v>
      </x:c>
      <x:c r="L109" s="3" t="s">
        <x:v>872</x:v>
      </x:c>
      <x:c r="M109" s="8" t="str">
        <x:v>Agent Reviewer 1</x:v>
      </x:c>
      <x:c r="N109" s="8" t="str">
        <x:v>Exclude</x:v>
      </x:c>
      <x:c r="O109" s="8" t="str">
        <x:v>Wrong study design</x:v>
      </x:c>
      <x:c r="P109" s="8" t="str">
        <x:v>High</x:v>
      </x:c>
      <x:c r="Q109" s="8" t="str">
        <x:v>Case report or case series; not an eligible comparative/cohort study.</x:v>
      </x:c>
      <x:c r="R109" s="8" t="str">
        <x:v>2026-08-02 12:36 KST</x:v>
      </x:c>
    </x:row>
    <x:row r="110" ht="70" customHeight="1">
      <x:c r="A110" s="3" t="s">
        <x:v>873</x:v>
      </x:c>
      <x:c r="B110" s="3" t="s">
        <x:v>651</x:v>
      </x:c>
      <x:c r="C110" s="3" t="s">
        <x:v>874</x:v>
      </x:c>
      <x:c r="D110" s="3" t="s">
        <x:v>875</x:v>
      </x:c>
      <x:c r="E110" s="3" t="s">
        <x:v>876</x:v>
      </x:c>
      <x:c r="F110" s="3" t="s">
        <x:v>58</x:v>
      </x:c>
      <x:c r="G110" s="3" t="s">
        <x:v>877</x:v>
      </x:c>
      <x:c r="H110" s="3" t="s">
        <x:v>878</x:v>
      </x:c>
      <x:c r="I110" s="3" t="s">
        <x:v>879</x:v>
      </x:c>
      <x:c r="J110" s="3" t="s">
        <x:v>783</x:v>
      </x:c>
      <x:c r="K110" s="3" t="s">
        <x:v>75</x:v>
      </x:c>
      <x:c r="L110" s="3" t="s">
        <x:v>880</x:v>
      </x:c>
      <x:c r="M110" s="8" t="str">
        <x:v>Agent Reviewer 1</x:v>
      </x:c>
      <x:c r="N110" s="8" t="str">
        <x:v>Exclude</x:v>
      </x:c>
      <x:c r="O110" s="8" t="str">
        <x:v>Not cardiac surgery</x:v>
      </x:c>
      <x:c r="P110" s="8" t="str">
        <x:v>High</x:v>
      </x:c>
      <x:c r="Q110" s="8" t="str">
        <x:v>Transcatheter intervention rather than open cardiac surgery.</x:v>
      </x:c>
      <x:c r="R110" s="8" t="str">
        <x:v>2026-08-02 12:36 KST</x:v>
      </x:c>
    </x:row>
    <x:row r="111" ht="70" customHeight="1">
      <x:c r="A111" s="3" t="s">
        <x:v>881</x:v>
      </x:c>
      <x:c r="B111" s="3" t="s">
        <x:v>651</x:v>
      </x:c>
      <x:c r="C111" s="3" t="s">
        <x:v>882</x:v>
      </x:c>
      <x:c r="D111" s="3" t="s">
        <x:v>883</x:v>
      </x:c>
      <x:c r="E111" s="3" t="s">
        <x:v>884</x:v>
      </x:c>
      <x:c r="F111" s="3" t="s">
        <x:v>70</x:v>
      </x:c>
      <x:c r="G111" s="3" t="s">
        <x:v>681</x:v>
      </x:c>
      <x:c r="H111" s="3" t="s">
        <x:v>885</x:v>
      </x:c>
      <x:c r="I111" s="3" t="s">
        <x:v>886</x:v>
      </x:c>
      <x:c r="J111" s="3" t="s">
        <x:v>658</x:v>
      </x:c>
      <x:c r="K111" s="3" t="s">
        <x:v>75</x:v>
      </x:c>
      <x:c r="L111" s="3" t="s">
        <x:v>887</x:v>
      </x:c>
      <x:c r="M111" s="8" t="str">
        <x:v>Agent Reviewer 1</x:v>
      </x:c>
      <x:c r="N111" s="8" t="str">
        <x:v>Exclude</x:v>
      </x:c>
      <x:c r="O111" s="8" t="str">
        <x:v>Wrong population</x:v>
      </x:c>
      <x:c r="P111" s="8" t="str">
        <x:v>High</x:v>
      </x:c>
      <x:c r="Q111" s="8" t="str">
        <x:v>Prior revascularization history rather than a current cardiac-surgery cohort.</x:v>
      </x:c>
      <x:c r="R111" s="8" t="str">
        <x:v>2026-08-02 12:36 KST</x:v>
      </x:c>
    </x:row>
    <x:row r="112" ht="70" customHeight="1">
      <x:c r="A112" s="3" t="s">
        <x:v>888</x:v>
      </x:c>
      <x:c r="B112" s="3" t="s">
        <x:v>651</x:v>
      </x:c>
      <x:c r="C112" s="3" t="s">
        <x:v>889</x:v>
      </x:c>
      <x:c r="D112" s="3" t="s">
        <x:v>890</x:v>
      </x:c>
      <x:c r="E112" s="3" t="s">
        <x:v>891</x:v>
      </x:c>
      <x:c r="F112" s="3" t="s">
        <x:v>70</x:v>
      </x:c>
      <x:c r="G112" s="3" t="s">
        <x:v>127</x:v>
      </x:c>
      <x:c r="H112" s="3" t="s">
        <x:v>892</x:v>
      </x:c>
      <x:c r="I112" s="3" t="s">
        <x:v>893</x:v>
      </x:c>
      <x:c r="J112" s="3" t="s">
        <x:v>894</x:v>
      </x:c>
      <x:c r="K112" s="3" t="s">
        <x:v>75</x:v>
      </x:c>
      <x:c r="L112" s="3" t="s">
        <x:v>895</x:v>
      </x:c>
      <x:c r="M112" s="8" t="str">
        <x:v>Agent Reviewer 1</x:v>
      </x:c>
      <x:c r="N112" s="8" t="str">
        <x:v>Exclude</x:v>
      </x:c>
      <x:c r="O112" s="8" t="str">
        <x:v>No relevant clinical outcome</x:v>
      </x:c>
      <x:c r="P112" s="8" t="str">
        <x:v>Moderate</x:v>
      </x:c>
      <x:c r="Q112" s="8" t="str">
        <x:v>Cardiac-surgery context is present, but the study does not evaluate eligible clinical effects of SGLT2 inhibitor exposure.</x:v>
      </x:c>
      <x:c r="R112" s="8" t="str">
        <x:v>2026-08-02 12:36 KST</x:v>
      </x:c>
    </x:row>
    <x:row r="113" ht="70" customHeight="1">
      <x:c r="A113" s="3" t="s">
        <x:v>896</x:v>
      </x:c>
      <x:c r="B113" s="3" t="s">
        <x:v>651</x:v>
      </x:c>
      <x:c r="C113" s="3" t="s">
        <x:v>897</x:v>
      </x:c>
      <x:c r="D113" s="3" t="s">
        <x:v>898</x:v>
      </x:c>
      <x:c r="E113" s="3" t="s">
        <x:v>899</x:v>
      </x:c>
      <x:c r="F113" s="3" t="s">
        <x:v>58</x:v>
      </x:c>
      <x:c r="G113" s="3" t="s">
        <x:v>900</x:v>
      </x:c>
      <x:c r="H113" s="3" t="s">
        <x:v>901</x:v>
      </x:c>
      <x:c r="I113" s="3" t="s">
        <x:v>902</x:v>
      </x:c>
      <x:c r="J113" s="3" t="s">
        <x:v>658</x:v>
      </x:c>
      <x:c r="K113" s="3" t="s">
        <x:v>75</x:v>
      </x:c>
      <x:c r="L113" s="3" t="s">
        <x:v>903</x:v>
      </x:c>
      <x:c r="M113" s="8" t="str">
        <x:v>Agent Reviewer 1</x:v>
      </x:c>
      <x:c r="N113" s="8" t="str">
        <x:v>Exclude</x:v>
      </x:c>
      <x:c r="O113" s="8" t="str">
        <x:v>Wrong population</x:v>
      </x:c>
      <x:c r="P113" s="8" t="str">
        <x:v>High</x:v>
      </x:c>
      <x:c r="Q113" s="8" t="str">
        <x:v>Surgical population is not restricted to cardiac surgery.</x:v>
      </x:c>
      <x:c r="R113" s="8" t="str">
        <x:v>2026-08-02 12:36 KST</x:v>
      </x:c>
    </x:row>
    <x:row r="114" ht="70" customHeight="1">
      <x:c r="A114" s="3" t="s">
        <x:v>904</x:v>
      </x:c>
      <x:c r="B114" s="3" t="s">
        <x:v>651</x:v>
      </x:c>
      <x:c r="C114" s="3" t="s">
        <x:v>905</x:v>
      </x:c>
      <x:c r="D114" s="3" t="s">
        <x:v>906</x:v>
      </x:c>
      <x:c r="E114" s="3" t="s">
        <x:v>907</x:v>
      </x:c>
      <x:c r="F114" s="3" t="s">
        <x:v>58</x:v>
      </x:c>
      <x:c r="G114" s="3" t="s">
        <x:v>908</x:v>
      </x:c>
      <x:c r="H114" s="3" t="s">
        <x:v>909</x:v>
      </x:c>
      <x:c r="I114" s="3" t="s">
        <x:v>910</x:v>
      </x:c>
      <x:c r="J114" s="3" t="s">
        <x:v>757</x:v>
      </x:c>
      <x:c r="K114" s="3" t="s">
        <x:v>75</x:v>
      </x:c>
      <x:c r="L114" s="3" t="s">
        <x:v>911</x:v>
      </x:c>
      <x:c r="M114" s="8" t="str">
        <x:v>Agent Reviewer 1</x:v>
      </x:c>
      <x:c r="N114" s="8" t="str">
        <x:v>Exclude</x:v>
      </x:c>
      <x:c r="O114" s="8" t="str">
        <x:v>Protocol, editorial, commentary, or review</x:v>
      </x:c>
      <x:c r="P114" s="8" t="str">
        <x:v>High</x:v>
      </x:c>
      <x:c r="Q114" s="8" t="str">
        <x:v>Secondary review/meta-analysis rather than an eligible primary study.</x:v>
      </x:c>
      <x:c r="R114" s="8" t="str">
        <x:v>2026-08-02 12:36 KST</x:v>
      </x:c>
    </x:row>
    <x:row r="115" ht="70" customHeight="1">
      <x:c r="A115" s="3" t="s">
        <x:v>912</x:v>
      </x:c>
      <x:c r="B115" s="3" t="s">
        <x:v>651</x:v>
      </x:c>
      <x:c r="C115" s="3" t="s">
        <x:v>913</x:v>
      </x:c>
      <x:c r="D115" s="3" t="s">
        <x:v>914</x:v>
      </x:c>
      <x:c r="E115" s="3" t="s">
        <x:v>915</x:v>
      </x:c>
      <x:c r="F115" s="3" t="s">
        <x:v>70</x:v>
      </x:c>
      <x:c r="G115" s="3" t="s">
        <x:v>916</x:v>
      </x:c>
      <x:c r="H115" s="3" t="s">
        <x:v>917</x:v>
      </x:c>
      <x:c r="I115" s="3" t="s">
        <x:v>918</x:v>
      </x:c>
      <x:c r="J115" s="3" t="s">
        <x:v>871</x:v>
      </x:c>
      <x:c r="K115" s="3" t="s">
        <x:v>75</x:v>
      </x:c>
      <x:c r="L115" s="3" t="s">
        <x:v>919</x:v>
      </x:c>
      <x:c r="M115" s="8" t="str">
        <x:v>Agent Reviewer 1</x:v>
      </x:c>
      <x:c r="N115" s="8" t="str">
        <x:v>Exclude</x:v>
      </x:c>
      <x:c r="O115" s="8" t="str">
        <x:v>Wrong study design</x:v>
      </x:c>
      <x:c r="P115" s="8" t="str">
        <x:v>High</x:v>
      </x:c>
      <x:c r="Q115" s="8" t="str">
        <x:v>Case report or case series; not an eligible comparative/cohort study.</x:v>
      </x:c>
      <x:c r="R115" s="8" t="str">
        <x:v>2026-08-02 12:36 KST</x:v>
      </x:c>
    </x:row>
    <x:row r="116" ht="70" customHeight="1">
      <x:c r="A116" s="3" t="s">
        <x:v>920</x:v>
      </x:c>
      <x:c r="B116" s="3" t="s">
        <x:v>651</x:v>
      </x:c>
      <x:c r="C116" s="3" t="s">
        <x:v>921</x:v>
      </x:c>
      <x:c r="D116" s="3" t="s">
        <x:v>922</x:v>
      </x:c>
      <x:c r="E116" s="3" t="s">
        <x:v>923</x:v>
      </x:c>
      <x:c r="F116" s="3" t="s">
        <x:v>70</x:v>
      </x:c>
      <x:c r="G116" s="3" t="s">
        <x:v>924</x:v>
      </x:c>
      <x:c r="H116" s="3" t="s">
        <x:v>925</x:v>
      </x:c>
      <x:c r="I116" s="3" t="s">
        <x:v>926</x:v>
      </x:c>
      <x:c r="J116" s="3" t="s">
        <x:v>757</x:v>
      </x:c>
      <x:c r="K116" s="3" t="s">
        <x:v>75</x:v>
      </x:c>
      <x:c r="L116" s="3" t="s">
        <x:v>927</x:v>
      </x:c>
      <x:c r="M116" s="8" t="str">
        <x:v>Agent Reviewer 1</x:v>
      </x:c>
      <x:c r="N116" s="8" t="str">
        <x:v>Exclude</x:v>
      </x:c>
      <x:c r="O116" s="8" t="str">
        <x:v>Protocol, editorial, commentary, or review</x:v>
      </x:c>
      <x:c r="P116" s="8" t="str">
        <x:v>High</x:v>
      </x:c>
      <x:c r="Q116" s="8" t="str">
        <x:v>Secondary review/meta-analysis rather than an eligible primary study.</x:v>
      </x:c>
      <x:c r="R116" s="8" t="str">
        <x:v>2026-08-02 12:36 KST</x:v>
      </x:c>
    </x:row>
    <x:row r="117" ht="70" customHeight="1">
      <x:c r="A117" s="3" t="s">
        <x:v>928</x:v>
      </x:c>
      <x:c r="B117" s="3" t="s">
        <x:v>651</x:v>
      </x:c>
      <x:c r="C117" s="3" t="s">
        <x:v>929</x:v>
      </x:c>
      <x:c r="D117" s="3" t="s">
        <x:v>930</x:v>
      </x:c>
      <x:c r="E117" s="3" t="s">
        <x:v>931</x:v>
      </x:c>
      <x:c r="F117" s="3" t="s">
        <x:v>70</x:v>
      </x:c>
      <x:c r="G117" s="3" t="s">
        <x:v>208</x:v>
      </x:c>
      <x:c r="H117" s="3" t="s">
        <x:v>932</x:v>
      </x:c>
      <x:c r="I117" s="3" t="s">
        <x:v>933</x:v>
      </x:c>
      <x:c r="J117" s="3" t="s">
        <x:v>658</x:v>
      </x:c>
      <x:c r="K117" s="3" t="s">
        <x:v>75</x:v>
      </x:c>
      <x:c r="L117" s="3" t="s">
        <x:v>934</x:v>
      </x:c>
      <x:c r="M117" s="8" t="str">
        <x:v>Agent Reviewer 1</x:v>
      </x:c>
      <x:c r="N117" s="8" t="str">
        <x:v>Include</x:v>
      </x:c>
      <x:c r="O117" s="8" t="str"/>
      <x:c r="P117" s="8" t="str">
        <x:v>High</x:v>
      </x:c>
      <x:c r="Q117" s="8" t="str">
        <x:v>Potentially eligible primary human study directly evaluating SGLT2 inhibitor exposure or intervention in a cardiac-surgery population.</x:v>
      </x:c>
      <x:c r="R117" s="8" t="str">
        <x:v>2026-08-02 12:36 KST</x:v>
      </x:c>
    </x:row>
    <x:row r="118" ht="70" customHeight="1">
      <x:c r="A118" s="3" t="s">
        <x:v>935</x:v>
      </x:c>
      <x:c r="B118" s="3" t="s">
        <x:v>651</x:v>
      </x:c>
      <x:c r="C118" s="3" t="s">
        <x:v>936</x:v>
      </x:c>
      <x:c r="D118" s="3" t="s">
        <x:v>937</x:v>
      </x:c>
      <x:c r="E118" s="3" t="s">
        <x:v>938</x:v>
      </x:c>
      <x:c r="F118" s="3" t="s">
        <x:v>70</x:v>
      </x:c>
      <x:c r="G118" s="3" t="s">
        <x:v>939</x:v>
      </x:c>
      <x:c r="H118" s="3" t="s">
        <x:v>940</x:v>
      </x:c>
      <x:c r="I118" s="3" t="s">
        <x:v>941</x:v>
      </x:c>
      <x:c r="J118" s="3" t="s">
        <x:v>658</x:v>
      </x:c>
      <x:c r="K118" s="3" t="s">
        <x:v>75</x:v>
      </x:c>
      <x:c r="L118" s="3" t="s">
        <x:v>942</x:v>
      </x:c>
      <x:c r="M118" s="8" t="str">
        <x:v>Agent Reviewer 1</x:v>
      </x:c>
      <x:c r="N118" s="8" t="str">
        <x:v>Exclude</x:v>
      </x:c>
      <x:c r="O118" s="8" t="str">
        <x:v>No relevant clinical outcome</x:v>
      </x:c>
      <x:c r="P118" s="8" t="str">
        <x:v>High</x:v>
      </x:c>
      <x:c r="Q118" s="8" t="str">
        <x:v>Focuses on prescribing/medication uptake rather than relevant clinical outcomes of SGLT2 exposure.</x:v>
      </x:c>
      <x:c r="R118" s="8" t="str">
        <x:v>2026-08-02 12:36 KST</x:v>
      </x:c>
    </x:row>
    <x:row r="119" ht="70" customHeight="1">
      <x:c r="A119" s="3" t="s">
        <x:v>943</x:v>
      </x:c>
      <x:c r="B119" s="3" t="s">
        <x:v>651</x:v>
      </x:c>
      <x:c r="C119" s="3" t="s">
        <x:v>944</x:v>
      </x:c>
      <x:c r="D119" s="3" t="s">
        <x:v>945</x:v>
      </x:c>
      <x:c r="E119" s="3" t="s">
        <x:v>946</x:v>
      </x:c>
      <x:c r="F119" s="3" t="s">
        <x:v>70</x:v>
      </x:c>
      <x:c r="G119" s="3" t="s">
        <x:v>916</x:v>
      </x:c>
      <x:c r="H119" s="3" t="s">
        <x:v>947</x:v>
      </x:c>
      <x:c r="I119" s="3" t="s">
        <x:v>948</x:v>
      </x:c>
      <x:c r="J119" s="3" t="s">
        <x:v>757</x:v>
      </x:c>
      <x:c r="K119" s="3" t="s">
        <x:v>75</x:v>
      </x:c>
      <x:c r="L119" s="3" t="s">
        <x:v>949</x:v>
      </x:c>
      <x:c r="M119" s="8" t="str">
        <x:v>Agent Reviewer 1</x:v>
      </x:c>
      <x:c r="N119" s="8" t="str">
        <x:v>Exclude</x:v>
      </x:c>
      <x:c r="O119" s="8" t="str">
        <x:v>Protocol, editorial, commentary, or review</x:v>
      </x:c>
      <x:c r="P119" s="8" t="str">
        <x:v>High</x:v>
      </x:c>
      <x:c r="Q119" s="8" t="str">
        <x:v>Secondary review/meta-analysis rather than an eligible primary study.</x:v>
      </x:c>
      <x:c r="R119" s="8" t="str">
        <x:v>2026-08-02 12:36 KST</x:v>
      </x:c>
    </x:row>
    <x:row r="120" ht="70" customHeight="1">
      <x:c r="A120" s="3" t="s">
        <x:v>950</x:v>
      </x:c>
      <x:c r="B120" s="3" t="s">
        <x:v>651</x:v>
      </x:c>
      <x:c r="C120" s="3" t="s">
        <x:v>951</x:v>
      </x:c>
      <x:c r="D120" s="3" t="s">
        <x:v>952</x:v>
      </x:c>
      <x:c r="E120" s="3" t="s">
        <x:v>953</x:v>
      </x:c>
      <x:c r="F120" s="3" t="s">
        <x:v>70</x:v>
      </x:c>
      <x:c r="G120" s="3" t="s">
        <x:v>954</x:v>
      </x:c>
      <x:c r="H120" s="3" t="s">
        <x:v>955</x:v>
      </x:c>
      <x:c r="I120" s="3" t="s">
        <x:v>956</x:v>
      </x:c>
      <x:c r="J120" s="3" t="s">
        <x:v>658</x:v>
      </x:c>
      <x:c r="K120" s="3" t="s">
        <x:v>75</x:v>
      </x:c>
      <x:c r="L120" s="3" t="s">
        <x:v>957</x:v>
      </x:c>
      <x:c r="M120" s="8" t="str">
        <x:v>Agent Reviewer 1</x:v>
      </x:c>
      <x:c r="N120" s="8" t="str">
        <x:v>Unclear</x:v>
      </x:c>
      <x:c r="O120" s="8" t="str"/>
      <x:c r="P120" s="8" t="str">
        <x:v>Moderate</x:v>
      </x:c>
      <x:c r="Q120" s="8" t="str">
        <x:v>Potential relevance, but timing, surgical-population definition, or primary-study eligibility requires human full-text review.</x:v>
      </x:c>
      <x:c r="R120" s="8" t="str">
        <x:v>2026-08-02 12:36 KST</x:v>
      </x:c>
    </x:row>
    <x:row r="121" ht="70" customHeight="1">
      <x:c r="A121" s="3" t="s">
        <x:v>958</x:v>
      </x:c>
      <x:c r="B121" s="3" t="s">
        <x:v>651</x:v>
      </x:c>
      <x:c r="C121" s="3" t="s">
        <x:v>959</x:v>
      </x:c>
      <x:c r="D121" s="3" t="s">
        <x:v>960</x:v>
      </x:c>
      <x:c r="E121" s="3" t="s">
        <x:v>961</x:v>
      </x:c>
      <x:c r="F121" s="3" t="s">
        <x:v>70</x:v>
      </x:c>
      <x:c r="G121" s="3" t="s">
        <x:v>962</x:v>
      </x:c>
      <x:c r="H121" s="3" t="s">
        <x:v>963</x:v>
      </x:c>
      <x:c r="I121" s="3" t="s">
        <x:v>964</x:v>
      </x:c>
      <x:c r="J121" s="3" t="s">
        <x:v>783</x:v>
      </x:c>
      <x:c r="K121" s="3" t="s">
        <x:v>75</x:v>
      </x:c>
      <x:c r="L121" s="3" t="s">
        <x:v>965</x:v>
      </x:c>
      <x:c r="M121" s="8" t="str">
        <x:v>Agent Reviewer 1</x:v>
      </x:c>
      <x:c r="N121" s="8" t="str">
        <x:v>Exclude</x:v>
      </x:c>
      <x:c r="O121" s="8" t="str">
        <x:v>No relevant clinical outcome</x:v>
      </x:c>
      <x:c r="P121" s="8" t="str">
        <x:v>Moderate</x:v>
      </x:c>
      <x:c r="Q121" s="8" t="str">
        <x:v>Cardiac-surgery context is present, but the study does not evaluate eligible clinical effects of SGLT2 inhibitor exposure.</x:v>
      </x:c>
      <x:c r="R121" s="8" t="str">
        <x:v>2026-08-02 12:36 KST</x:v>
      </x:c>
    </x:row>
    <x:row r="122" ht="70" customHeight="1">
      <x:c r="A122" s="3" t="s">
        <x:v>966</x:v>
      </x:c>
      <x:c r="B122" s="3" t="s">
        <x:v>651</x:v>
      </x:c>
      <x:c r="C122" s="3" t="s">
        <x:v>967</x:v>
      </x:c>
      <x:c r="D122" s="3" t="s">
        <x:v>968</x:v>
      </x:c>
      <x:c r="E122" s="3" t="s">
        <x:v>969</x:v>
      </x:c>
      <x:c r="F122" s="3" t="s">
        <x:v>70</x:v>
      </x:c>
      <x:c r="G122" s="3" t="s">
        <x:v>970</x:v>
      </x:c>
      <x:c r="H122" s="3" t="s">
        <x:v>971</x:v>
      </x:c>
      <x:c r="I122" s="3" t="s">
        <x:v>972</x:v>
      </x:c>
      <x:c r="J122" s="3" t="s">
        <x:v>658</x:v>
      </x:c>
      <x:c r="K122" s="3" t="s">
        <x:v>75</x:v>
      </x:c>
      <x:c r="L122" s="3" t="s">
        <x:v>973</x:v>
      </x:c>
      <x:c r="M122" s="8" t="str">
        <x:v>Agent Reviewer 1</x:v>
      </x:c>
      <x:c r="N122" s="8" t="str">
        <x:v>Unclear</x:v>
      </x:c>
      <x:c r="O122" s="8" t="str"/>
      <x:c r="P122" s="8" t="str">
        <x:v>Moderate</x:v>
      </x:c>
      <x:c r="Q122" s="8" t="str">
        <x:v>Potential relevance, but timing, surgical-population definition, or primary-study eligibility requires human full-text review.</x:v>
      </x:c>
      <x:c r="R122" s="8" t="str">
        <x:v>2026-08-02 12:36 KST</x:v>
      </x:c>
    </x:row>
    <x:row r="123" ht="70" customHeight="1">
      <x:c r="A123" s="3" t="s">
        <x:v>974</x:v>
      </x:c>
      <x:c r="B123" s="3" t="s">
        <x:v>651</x:v>
      </x:c>
      <x:c r="C123" s="3" t="s">
        <x:v>975</x:v>
      </x:c>
      <x:c r="D123" s="3" t="s">
        <x:v>976</x:v>
      </x:c>
      <x:c r="E123" s="3" t="s">
        <x:v>977</x:v>
      </x:c>
      <x:c r="F123" s="3" t="s">
        <x:v>70</x:v>
      </x:c>
      <x:c r="G123" s="3" t="s">
        <x:v>978</x:v>
      </x:c>
      <x:c r="H123" s="3" t="s">
        <x:v>979</x:v>
      </x:c>
      <x:c r="I123" s="3" t="s">
        <x:v>980</x:v>
      </x:c>
      <x:c r="J123" s="3" t="s">
        <x:v>981</x:v>
      </x:c>
      <x:c r="K123" s="3" t="s">
        <x:v>75</x:v>
      </x:c>
      <x:c r="L123" s="3" t="s">
        <x:v>982</x:v>
      </x:c>
      <x:c r="M123" s="8" t="str">
        <x:v>Agent Reviewer 1</x:v>
      </x:c>
      <x:c r="N123" s="8" t="str">
        <x:v>Exclude</x:v>
      </x:c>
      <x:c r="O123" s="8" t="str">
        <x:v>Not cardiac surgery</x:v>
      </x:c>
      <x:c r="P123" s="8" t="str">
        <x:v>High</x:v>
      </x:c>
      <x:c r="Q123" s="8" t="str">
        <x:v>Transcatheter intervention rather than open cardiac surgery.</x:v>
      </x:c>
      <x:c r="R123" s="8" t="str">
        <x:v>2026-08-02 12:36 KST</x:v>
      </x:c>
    </x:row>
    <x:row r="124" ht="70" customHeight="1">
      <x:c r="A124" s="3" t="s">
        <x:v>983</x:v>
      </x:c>
      <x:c r="B124" s="3" t="s">
        <x:v>651</x:v>
      </x:c>
      <x:c r="C124" s="3" t="s">
        <x:v>984</x:v>
      </x:c>
      <x:c r="D124" s="3" t="s">
        <x:v>985</x:v>
      </x:c>
      <x:c r="E124" s="3" t="s">
        <x:v>986</x:v>
      </x:c>
      <x:c r="F124" s="3" t="s">
        <x:v>58</x:v>
      </x:c>
      <x:c r="G124" s="3" t="s">
        <x:v>987</x:v>
      </x:c>
      <x:c r="H124" s="3" t="s">
        <x:v>988</x:v>
      </x:c>
      <x:c r="I124" s="3" t="s">
        <x:v>989</x:v>
      </x:c>
      <x:c r="J124" s="3" t="s">
        <x:v>814</x:v>
      </x:c>
      <x:c r="K124" s="3" t="s">
        <x:v>75</x:v>
      </x:c>
      <x:c r="L124" s="3" t="s">
        <x:v>990</x:v>
      </x:c>
      <x:c r="M124" s="8" t="str">
        <x:v>Agent Reviewer 1</x:v>
      </x:c>
      <x:c r="N124" s="8" t="str">
        <x:v>Include</x:v>
      </x:c>
      <x:c r="O124" s="8" t="str"/>
      <x:c r="P124" s="8" t="str">
        <x:v>High</x:v>
      </x:c>
      <x:c r="Q124" s="8" t="str">
        <x:v>Potentially eligible primary human study directly evaluating SGLT2 inhibitor exposure or intervention in a cardiac-surgery population.</x:v>
      </x:c>
      <x:c r="R124" s="8" t="str">
        <x:v>2026-08-02 12:36 KST</x:v>
      </x:c>
    </x:row>
    <x:row r="125" ht="70" customHeight="1">
      <x:c r="A125" s="3" t="s">
        <x:v>991</x:v>
      </x:c>
      <x:c r="B125" s="3" t="s">
        <x:v>651</x:v>
      </x:c>
      <x:c r="C125" s="3" t="s">
        <x:v>992</x:v>
      </x:c>
      <x:c r="D125" s="3" t="s">
        <x:v>993</x:v>
      </x:c>
      <x:c r="E125" s="3" t="s">
        <x:v>994</x:v>
      </x:c>
      <x:c r="F125" s="3" t="s">
        <x:v>70</x:v>
      </x:c>
      <x:c r="G125" s="3" t="s">
        <x:v>827</x:v>
      </x:c>
      <x:c r="H125" s="3" t="s">
        <x:v>995</x:v>
      </x:c>
      <x:c r="I125" s="3" t="s">
        <x:v>996</x:v>
      </x:c>
      <x:c r="J125" s="3" t="s">
        <x:v>814</x:v>
      </x:c>
      <x:c r="K125" s="3" t="s">
        <x:v>75</x:v>
      </x:c>
      <x:c r="L125" s="3" t="s">
        <x:v>997</x:v>
      </x:c>
      <x:c r="M125" s="8" t="str">
        <x:v>Agent Reviewer 1</x:v>
      </x:c>
      <x:c r="N125" s="8" t="str">
        <x:v>Include</x:v>
      </x:c>
      <x:c r="O125" s="8" t="str"/>
      <x:c r="P125" s="8" t="str">
        <x:v>High</x:v>
      </x:c>
      <x:c r="Q125" s="8" t="str">
        <x:v>Potentially eligible primary human study directly evaluating SGLT2 inhibitor exposure or intervention in a cardiac-surgery population.</x:v>
      </x:c>
      <x:c r="R125" s="8" t="str">
        <x:v>2026-08-02 12:36 KST</x:v>
      </x:c>
    </x:row>
    <x:row r="126" ht="70" customHeight="1">
      <x:c r="A126" s="3" t="s">
        <x:v>998</x:v>
      </x:c>
      <x:c r="B126" s="3" t="s">
        <x:v>651</x:v>
      </x:c>
      <x:c r="C126" s="3" t="s">
        <x:v>999</x:v>
      </x:c>
      <x:c r="D126" s="3" t="s">
        <x:v>1000</x:v>
      </x:c>
      <x:c r="E126" s="3" t="s">
        <x:v>1001</x:v>
      </x:c>
      <x:c r="F126" s="3" t="s">
        <x:v>70</x:v>
      </x:c>
      <x:c r="G126" s="3" t="s">
        <x:v>1002</x:v>
      </x:c>
      <x:c r="H126" s="3" t="s">
        <x:v>1003</x:v>
      </x:c>
      <x:c r="I126" s="3" t="s">
        <x:v>1004</x:v>
      </x:c>
      <x:c r="J126" s="3" t="s">
        <x:v>658</x:v>
      </x:c>
      <x:c r="K126" s="3" t="s">
        <x:v>75</x:v>
      </x:c>
      <x:c r="L126" s="3" t="s">
        <x:v>1005</x:v>
      </x:c>
      <x:c r="M126" s="8" t="str">
        <x:v>Agent Reviewer 1</x:v>
      </x:c>
      <x:c r="N126" s="8" t="str">
        <x:v>Exclude</x:v>
      </x:c>
      <x:c r="O126" s="8" t="str">
        <x:v>Not cardiac surgery</x:v>
      </x:c>
      <x:c r="P126" s="8" t="str">
        <x:v>High</x:v>
      </x:c>
      <x:c r="Q126" s="8" t="str">
        <x:v>Population or procedure is not cardiac surgery.</x:v>
      </x:c>
      <x:c r="R126" s="8" t="str">
        <x:v>2026-08-02 12:36 KST</x:v>
      </x:c>
    </x:row>
    <x:row r="127" ht="70" customHeight="1">
      <x:c r="A127" s="3" t="s">
        <x:v>1006</x:v>
      </x:c>
      <x:c r="B127" s="3" t="s">
        <x:v>651</x:v>
      </x:c>
      <x:c r="C127" s="3" t="s">
        <x:v>1007</x:v>
      </x:c>
      <x:c r="D127" s="3" t="s">
        <x:v>1008</x:v>
      </x:c>
      <x:c r="E127" s="3" t="s">
        <x:v>1009</x:v>
      </x:c>
      <x:c r="F127" s="3" t="s">
        <x:v>70</x:v>
      </x:c>
      <x:c r="G127" s="3" t="s">
        <x:v>1010</x:v>
      </x:c>
      <x:c r="H127" s="3" t="s">
        <x:v>1011</x:v>
      </x:c>
      <x:c r="I127" s="3" t="s">
        <x:v>1012</x:v>
      </x:c>
      <x:c r="J127" s="3" t="s">
        <x:v>658</x:v>
      </x:c>
      <x:c r="K127" s="3" t="s">
        <x:v>75</x:v>
      </x:c>
      <x:c r="L127" s="3" t="s">
        <x:v>1013</x:v>
      </x:c>
      <x:c r="M127" s="8" t="str">
        <x:v>Agent Reviewer 1</x:v>
      </x:c>
      <x:c r="N127" s="8" t="str">
        <x:v>Exclude</x:v>
      </x:c>
      <x:c r="O127" s="8" t="str">
        <x:v>Animal or laboratory study</x:v>
      </x:c>
      <x:c r="P127" s="8" t="str">
        <x:v>High</x:v>
      </x:c>
      <x:c r="Q127" s="8" t="str">
        <x:v>Animal, ex vivo, or mechanistic laboratory study without eligible clinical surgical outcomes.</x:v>
      </x:c>
      <x:c r="R127" s="8" t="str">
        <x:v>2026-08-02 12:36 KST</x:v>
      </x:c>
    </x:row>
    <x:row r="128" ht="70" customHeight="1">
      <x:c r="A128" s="3" t="s">
        <x:v>1014</x:v>
      </x:c>
      <x:c r="B128" s="3" t="s">
        <x:v>651</x:v>
      </x:c>
      <x:c r="C128" s="3" t="s">
        <x:v>1015</x:v>
      </x:c>
      <x:c r="D128" s="3" t="s">
        <x:v>1016</x:v>
      </x:c>
      <x:c r="E128" s="3" t="s">
        <x:v>1017</x:v>
      </x:c>
      <x:c r="F128" s="3" t="s">
        <x:v>70</x:v>
      </x:c>
      <x:c r="G128" s="3" t="s">
        <x:v>1018</x:v>
      </x:c>
      <x:c r="H128" s="3" t="s">
        <x:v>1019</x:v>
      </x:c>
      <x:c r="I128" s="3" t="s">
        <x:v>1020</x:v>
      </x:c>
      <x:c r="J128" s="3" t="s">
        <x:v>814</x:v>
      </x:c>
      <x:c r="K128" s="3" t="s">
        <x:v>75</x:v>
      </x:c>
      <x:c r="L128" s="3" t="s">
        <x:v>1021</x:v>
      </x:c>
      <x:c r="M128" s="8" t="str">
        <x:v>Agent Reviewer 1</x:v>
      </x:c>
      <x:c r="N128" s="8" t="str">
        <x:v>Unclear</x:v>
      </x:c>
      <x:c r="O128" s="8" t="str"/>
      <x:c r="P128" s="8" t="str">
        <x:v>Moderate</x:v>
      </x:c>
      <x:c r="Q128" s="8" t="str">
        <x:v>Potential relevance, but timing, surgical-population definition, or primary-study eligibility requires human full-text review.</x:v>
      </x:c>
      <x:c r="R128" s="8" t="str">
        <x:v>2026-08-02 12:36 KST</x:v>
      </x:c>
    </x:row>
    <x:row r="129" ht="70" customHeight="1">
      <x:c r="A129" s="3" t="s">
        <x:v>1022</x:v>
      </x:c>
      <x:c r="B129" s="3" t="s">
        <x:v>651</x:v>
      </x:c>
      <x:c r="C129" s="3" t="s">
        <x:v>1023</x:v>
      </x:c>
      <x:c r="D129" s="3" t="s">
        <x:v>1024</x:v>
      </x:c>
      <x:c r="E129" s="3" t="s">
        <x:v>1025</x:v>
      </x:c>
      <x:c r="F129" s="3" t="s">
        <x:v>70</x:v>
      </x:c>
      <x:c r="G129" s="3" t="s">
        <x:v>1026</x:v>
      </x:c>
      <x:c r="H129" s="3" t="s">
        <x:v>1027</x:v>
      </x:c>
      <x:c r="I129" s="3" t="s">
        <x:v>1028</x:v>
      </x:c>
      <x:c r="J129" s="3" t="s">
        <x:v>871</x:v>
      </x:c>
      <x:c r="K129" s="3" t="s">
        <x:v>75</x:v>
      </x:c>
      <x:c r="L129" s="3" t="s">
        <x:v>1029</x:v>
      </x:c>
      <x:c r="M129" s="8" t="str">
        <x:v>Agent Reviewer 1</x:v>
      </x:c>
      <x:c r="N129" s="8" t="str">
        <x:v>Exclude</x:v>
      </x:c>
      <x:c r="O129" s="8" t="str">
        <x:v>Wrong study design</x:v>
      </x:c>
      <x:c r="P129" s="8" t="str">
        <x:v>High</x:v>
      </x:c>
      <x:c r="Q129" s="8" t="str">
        <x:v>Case report or case series; not an eligible comparative/cohort study.</x:v>
      </x:c>
      <x:c r="R129" s="8" t="str">
        <x:v>2026-08-02 12:36 KST</x:v>
      </x:c>
    </x:row>
    <x:row r="130" ht="70" customHeight="1">
      <x:c r="A130" s="3" t="s">
        <x:v>1030</x:v>
      </x:c>
      <x:c r="B130" s="3" t="s">
        <x:v>651</x:v>
      </x:c>
      <x:c r="C130" s="3" t="s">
        <x:v>1031</x:v>
      </x:c>
      <x:c r="D130" s="3" t="s">
        <x:v>1032</x:v>
      </x:c>
      <x:c r="E130" s="3" t="s">
        <x:v>1033</x:v>
      </x:c>
      <x:c r="F130" s="3" t="s">
        <x:v>70</x:v>
      </x:c>
      <x:c r="G130" s="3" t="s">
        <x:v>1034</x:v>
      </x:c>
      <x:c r="H130" s="3" t="s">
        <x:v>1035</x:v>
      </x:c>
      <x:c r="I130" s="3" t="s">
        <x:v>1036</x:v>
      </x:c>
      <x:c r="J130" s="3" t="s">
        <x:v>658</x:v>
      </x:c>
      <x:c r="K130" s="3" t="s">
        <x:v>75</x:v>
      </x:c>
      <x:c r="L130" s="3" t="s">
        <x:v>1037</x:v>
      </x:c>
      <x:c r="M130" s="8" t="str">
        <x:v>Agent Reviewer 1</x:v>
      </x:c>
      <x:c r="N130" s="8" t="str">
        <x:v>Include</x:v>
      </x:c>
      <x:c r="O130" s="8" t="str"/>
      <x:c r="P130" s="8" t="str">
        <x:v>High</x:v>
      </x:c>
      <x:c r="Q130" s="8" t="str">
        <x:v>Potentially eligible primary human study directly evaluating SGLT2 inhibitor exposure or intervention in a cardiac-surgery population.</x:v>
      </x:c>
      <x:c r="R130" s="8" t="str">
        <x:v>2026-08-02 12:36 KST</x:v>
      </x:c>
    </x:row>
    <x:row r="131" ht="70" customHeight="1">
      <x:c r="A131" s="3" t="s">
        <x:v>1038</x:v>
      </x:c>
      <x:c r="B131" s="3" t="s">
        <x:v>651</x:v>
      </x:c>
      <x:c r="C131" s="3" t="s">
        <x:v>1039</x:v>
      </x:c>
      <x:c r="D131" s="3" t="s">
        <x:v>1040</x:v>
      </x:c>
      <x:c r="E131" s="3" t="s">
        <x:v>1041</x:v>
      </x:c>
      <x:c r="F131" s="3" t="s">
        <x:v>70</x:v>
      </x:c>
      <x:c r="G131" s="3" t="s">
        <x:v>1042</x:v>
      </x:c>
      <x:c r="H131" s="3" t="s">
        <x:v>1043</x:v>
      </x:c>
      <x:c r="I131" s="3" t="s">
        <x:v>1044</x:v>
      </x:c>
      <x:c r="J131" s="3" t="s">
        <x:v>658</x:v>
      </x:c>
      <x:c r="K131" s="3" t="s">
        <x:v>75</x:v>
      </x:c>
      <x:c r="L131" s="3" t="s">
        <x:v>1045</x:v>
      </x:c>
      <x:c r="M131" s="8" t="str">
        <x:v>Agent Reviewer 1</x:v>
      </x:c>
      <x:c r="N131" s="8" t="str">
        <x:v>Exclude</x:v>
      </x:c>
      <x:c r="O131" s="8" t="str">
        <x:v>Not cardiac surgery</x:v>
      </x:c>
      <x:c r="P131" s="8" t="str">
        <x:v>High</x:v>
      </x:c>
      <x:c r="Q131" s="8" t="str">
        <x:v>Population or procedure is not cardiac surgery.</x:v>
      </x:c>
      <x:c r="R131" s="8" t="str">
        <x:v>2026-08-02 12:36 KST</x:v>
      </x:c>
    </x:row>
    <x:row r="132" ht="70" customHeight="1">
      <x:c r="A132" s="3" t="s">
        <x:v>1046</x:v>
      </x:c>
      <x:c r="B132" s="3" t="s">
        <x:v>651</x:v>
      </x:c>
      <x:c r="C132" s="3" t="s">
        <x:v>1047</x:v>
      </x:c>
      <x:c r="D132" s="3" t="s">
        <x:v>1048</x:v>
      </x:c>
      <x:c r="E132" s="3" t="s">
        <x:v>1049</x:v>
      </x:c>
      <x:c r="F132" s="3" t="s">
        <x:v>182</x:v>
      </x:c>
      <x:c r="G132" s="3" t="s">
        <x:v>1050</x:v>
      </x:c>
      <x:c r="H132" s="3" t="s">
        <x:v>1051</x:v>
      </x:c>
      <x:c r="I132" s="3" t="s">
        <x:v>1052</x:v>
      </x:c>
      <x:c r="J132" s="3" t="s">
        <x:v>1053</x:v>
      </x:c>
      <x:c r="K132" s="3" t="s">
        <x:v>1054</x:v>
      </x:c>
      <x:c r="L132" s="3" t="s">
        <x:v>1055</x:v>
      </x:c>
      <x:c r="M132" s="8" t="str">
        <x:v>Agent Reviewer 1</x:v>
      </x:c>
      <x:c r="N132" s="8" t="str">
        <x:v>Exclude</x:v>
      </x:c>
      <x:c r="O132" s="8" t="str">
        <x:v>Protocol, editorial, commentary, or review</x:v>
      </x:c>
      <x:c r="P132" s="8" t="str">
        <x:v>High</x:v>
      </x:c>
      <x:c r="Q132" s="8" t="str">
        <x:v>Secondary review/meta-analysis rather than an eligible primary study.</x:v>
      </x:c>
      <x:c r="R132" s="8" t="str">
        <x:v>2026-08-02 12:36 KST</x:v>
      </x:c>
    </x:row>
    <x:row r="133" ht="70" customHeight="1">
      <x:c r="A133" s="3" t="s">
        <x:v>1056</x:v>
      </x:c>
      <x:c r="B133" s="3" t="s">
        <x:v>651</x:v>
      </x:c>
      <x:c r="C133" s="3" t="s">
        <x:v>1057</x:v>
      </x:c>
      <x:c r="D133" s="3" t="s">
        <x:v>1058</x:v>
      </x:c>
      <x:c r="E133" s="3" t="s">
        <x:v>1059</x:v>
      </x:c>
      <x:c r="F133" s="3" t="s">
        <x:v>182</x:v>
      </x:c>
      <x:c r="G133" s="3" t="s">
        <x:v>978</x:v>
      </x:c>
      <x:c r="H133" s="3" t="s">
        <x:v>1060</x:v>
      </x:c>
      <x:c r="I133" s="3" t="s">
        <x:v>1061</x:v>
      </x:c>
      <x:c r="J133" s="3" t="s">
        <x:v>1062</x:v>
      </x:c>
      <x:c r="K133" s="3" t="s">
        <x:v>75</x:v>
      </x:c>
      <x:c r="L133" s="3" t="s">
        <x:v>1063</x:v>
      </x:c>
      <x:c r="M133" s="8" t="str">
        <x:v>Agent Reviewer 1</x:v>
      </x:c>
      <x:c r="N133" s="8" t="str">
        <x:v>Exclude</x:v>
      </x:c>
      <x:c r="O133" s="8" t="str">
        <x:v>Not cardiac surgery</x:v>
      </x:c>
      <x:c r="P133" s="8" t="str">
        <x:v>High</x:v>
      </x:c>
      <x:c r="Q133" s="8" t="str">
        <x:v>Transcatheter intervention rather than open cardiac surgery.</x:v>
      </x:c>
      <x:c r="R133" s="8" t="str">
        <x:v>2026-08-02 12:36 KST</x:v>
      </x:c>
    </x:row>
    <x:row r="134" ht="70" customHeight="1">
      <x:c r="A134" s="3" t="s">
        <x:v>1064</x:v>
      </x:c>
      <x:c r="B134" s="3" t="s">
        <x:v>651</x:v>
      </x:c>
      <x:c r="C134" s="3" t="s">
        <x:v>1065</x:v>
      </x:c>
      <x:c r="D134" s="3" t="s">
        <x:v>1066</x:v>
      </x:c>
      <x:c r="E134" s="3" t="s">
        <x:v>1067</x:v>
      </x:c>
      <x:c r="F134" s="3" t="s">
        <x:v>70</x:v>
      </x:c>
      <x:c r="G134" s="3" t="s">
        <x:v>59</x:v>
      </x:c>
      <x:c r="H134" s="3" t="s">
        <x:v>1068</x:v>
      </x:c>
      <x:c r="I134" s="3" t="s">
        <x:v>1069</x:v>
      </x:c>
      <x:c r="J134" s="3" t="s">
        <x:v>757</x:v>
      </x:c>
      <x:c r="K134" s="3" t="s">
        <x:v>75</x:v>
      </x:c>
      <x:c r="L134" s="3" t="s">
        <x:v>1070</x:v>
      </x:c>
      <x:c r="M134" s="8" t="str">
        <x:v>Agent Reviewer 1</x:v>
      </x:c>
      <x:c r="N134" s="8" t="str">
        <x:v>Exclude</x:v>
      </x:c>
      <x:c r="O134" s="8" t="str">
        <x:v>Protocol, editorial, commentary, or review</x:v>
      </x:c>
      <x:c r="P134" s="8" t="str">
        <x:v>High</x:v>
      </x:c>
      <x:c r="Q134" s="8" t="str">
        <x:v>Secondary review/meta-analysis rather than an eligible primary study.</x:v>
      </x:c>
      <x:c r="R134" s="8" t="str">
        <x:v>2026-08-02 12:36 KST</x:v>
      </x:c>
    </x:row>
    <x:row r="135" ht="70" customHeight="1">
      <x:c r="A135" s="3" t="s">
        <x:v>1071</x:v>
      </x:c>
      <x:c r="B135" s="3" t="s">
        <x:v>651</x:v>
      </x:c>
      <x:c r="C135" s="3" t="s">
        <x:v>1072</x:v>
      </x:c>
      <x:c r="D135" s="3" t="s">
        <x:v>1073</x:v>
      </x:c>
      <x:c r="E135" s="3" t="s">
        <x:v>1074</x:v>
      </x:c>
      <x:c r="F135" s="3" t="s">
        <x:v>182</x:v>
      </x:c>
      <x:c r="G135" s="3" t="s">
        <x:v>1075</x:v>
      </x:c>
      <x:c r="H135" s="3" t="s">
        <x:v>1076</x:v>
      </x:c>
      <x:c r="I135" s="3" t="s">
        <x:v>1077</x:v>
      </x:c>
      <x:c r="J135" s="3" t="s">
        <x:v>658</x:v>
      </x:c>
      <x:c r="K135" s="3" t="s">
        <x:v>75</x:v>
      </x:c>
      <x:c r="L135" s="3" t="s">
        <x:v>1078</x:v>
      </x:c>
      <x:c r="M135" s="8" t="str">
        <x:v>Agent Reviewer 1</x:v>
      </x:c>
      <x:c r="N135" s="8" t="str">
        <x:v>Exclude</x:v>
      </x:c>
      <x:c r="O135" s="8" t="str">
        <x:v>No relevant clinical outcome</x:v>
      </x:c>
      <x:c r="P135" s="8" t="str">
        <x:v>Moderate</x:v>
      </x:c>
      <x:c r="Q135" s="8" t="str">
        <x:v>Cardiac-surgery context is present, but the study does not evaluate eligible clinical effects of SGLT2 inhibitor exposure.</x:v>
      </x:c>
      <x:c r="R135" s="8" t="str">
        <x:v>2026-08-02 12:36 KST</x:v>
      </x:c>
    </x:row>
    <x:row r="136" ht="70" customHeight="1">
      <x:c r="A136" s="3" t="s">
        <x:v>1079</x:v>
      </x:c>
      <x:c r="B136" s="3" t="s">
        <x:v>651</x:v>
      </x:c>
      <x:c r="C136" s="3" t="s">
        <x:v>1080</x:v>
      </x:c>
      <x:c r="D136" s="3" t="s">
        <x:v>1081</x:v>
      </x:c>
      <x:c r="E136" s="3" t="s">
        <x:v>1082</x:v>
      </x:c>
      <x:c r="F136" s="3" t="s">
        <x:v>70</x:v>
      </x:c>
      <x:c r="G136" s="3" t="s">
        <x:v>1083</x:v>
      </x:c>
      <x:c r="H136" s="3" t="s">
        <x:v>1084</x:v>
      </x:c>
      <x:c r="I136" s="3" t="s">
        <x:v>1085</x:v>
      </x:c>
      <x:c r="J136" s="3" t="s">
        <x:v>894</x:v>
      </x:c>
      <x:c r="K136" s="3" t="s">
        <x:v>75</x:v>
      </x:c>
      <x:c r="L136" s="3" t="s">
        <x:v>1086</x:v>
      </x:c>
      <x:c r="M136" s="8" t="str">
        <x:v>Agent Reviewer 1</x:v>
      </x:c>
      <x:c r="N136" s="8" t="str">
        <x:v>Include</x:v>
      </x:c>
      <x:c r="O136" s="8" t="str"/>
      <x:c r="P136" s="8" t="str">
        <x:v>High</x:v>
      </x:c>
      <x:c r="Q136" s="8" t="str">
        <x:v>Potentially eligible primary human study directly evaluating SGLT2 inhibitor exposure or intervention in a cardiac-surgery population.</x:v>
      </x:c>
      <x:c r="R136" s="8" t="str">
        <x:v>2026-08-02 12:36 KST</x:v>
      </x:c>
    </x:row>
    <x:row r="137" ht="70" customHeight="1">
      <x:c r="A137" s="3" t="s">
        <x:v>1087</x:v>
      </x:c>
      <x:c r="B137" s="3" t="s">
        <x:v>651</x:v>
      </x:c>
      <x:c r="C137" s="3" t="s">
        <x:v>1088</x:v>
      </x:c>
      <x:c r="D137" s="3"/>
      <x:c r="E137" s="3" t="s">
        <x:v>1089</x:v>
      </x:c>
      <x:c r="F137" s="3" t="s">
        <x:v>182</x:v>
      </x:c>
      <x:c r="G137" s="3" t="s">
        <x:v>1090</x:v>
      </x:c>
      <x:c r="H137" s="3" t="s">
        <x:v>1091</x:v>
      </x:c>
      <x:c r="I137" s="3" t="s">
        <x:v>1092</x:v>
      </x:c>
      <x:c r="J137" s="3" t="s">
        <x:v>1093</x:v>
      </x:c>
      <x:c r="K137" s="3" t="s">
        <x:v>75</x:v>
      </x:c>
      <x:c r="L137" s="3" t="s">
        <x:v>1094</x:v>
      </x:c>
      <x:c r="M137" s="8" t="str">
        <x:v>Agent Reviewer 1</x:v>
      </x:c>
      <x:c r="N137" s="8" t="str">
        <x:v>Exclude</x:v>
      </x:c>
      <x:c r="O137" s="8" t="str">
        <x:v>Protocol, editorial, commentary, or review</x:v>
      </x:c>
      <x:c r="P137" s="8" t="str">
        <x:v>High</x:v>
      </x:c>
      <x:c r="Q137" s="8" t="str">
        <x:v>Protocol, registry, editorial, commentary, or letter without eligible completed primary outcomes.</x:v>
      </x:c>
      <x:c r="R137" s="8" t="str">
        <x:v>2026-08-02 12:36 KST</x:v>
      </x:c>
    </x:row>
    <x:row r="138" ht="70" customHeight="1">
      <x:c r="A138" s="3" t="s">
        <x:v>1095</x:v>
      </x:c>
      <x:c r="B138" s="3" t="s">
        <x:v>651</x:v>
      </x:c>
      <x:c r="C138" s="3" t="s">
        <x:v>1096</x:v>
      </x:c>
      <x:c r="D138" s="3"/>
      <x:c r="E138" s="3" t="s">
        <x:v>1097</x:v>
      </x:c>
      <x:c r="F138" s="3" t="s">
        <x:v>182</x:v>
      </x:c>
      <x:c r="G138" s="3" t="s">
        <x:v>1098</x:v>
      </x:c>
      <x:c r="H138" s="3" t="s">
        <x:v>1099</x:v>
      </x:c>
      <x:c r="I138" s="3" t="s">
        <x:v>1100</x:v>
      </x:c>
      <x:c r="J138" s="3" t="s">
        <x:v>658</x:v>
      </x:c>
      <x:c r="K138" s="3" t="s">
        <x:v>75</x:v>
      </x:c>
      <x:c r="L138" s="3" t="s">
        <x:v>1101</x:v>
      </x:c>
      <x:c r="M138" s="8" t="str">
        <x:v>Agent Reviewer 1</x:v>
      </x:c>
      <x:c r="N138" s="8" t="str">
        <x:v>Exclude</x:v>
      </x:c>
      <x:c r="O138" s="8" t="str">
        <x:v>No relevant clinical outcome</x:v>
      </x:c>
      <x:c r="P138" s="8" t="str">
        <x:v>Moderate</x:v>
      </x:c>
      <x:c r="Q138" s="8" t="str">
        <x:v>Cardiac-surgery context is present, but the study does not evaluate eligible clinical effects of SGLT2 inhibitor exposure.</x:v>
      </x:c>
      <x:c r="R138" s="8" t="str">
        <x:v>2026-08-02 12:36 KST</x:v>
      </x:c>
    </x:row>
    <x:row r="139" ht="70" customHeight="1">
      <x:c r="A139" s="3" t="s">
        <x:v>1102</x:v>
      </x:c>
      <x:c r="B139" s="3" t="s">
        <x:v>651</x:v>
      </x:c>
      <x:c r="C139" s="3" t="s">
        <x:v>1103</x:v>
      </x:c>
      <x:c r="D139" s="3" t="s">
        <x:v>1104</x:v>
      </x:c>
      <x:c r="E139" s="3" t="s">
        <x:v>1105</x:v>
      </x:c>
      <x:c r="F139" s="3" t="s">
        <x:v>70</x:v>
      </x:c>
      <x:c r="G139" s="3" t="s">
        <x:v>1106</x:v>
      </x:c>
      <x:c r="H139" s="3" t="s">
        <x:v>1107</x:v>
      </x:c>
      <x:c r="I139" s="3" t="s">
        <x:v>1108</x:v>
      </x:c>
      <x:c r="J139" s="3" t="s">
        <x:v>658</x:v>
      </x:c>
      <x:c r="K139" s="3" t="s">
        <x:v>75</x:v>
      </x:c>
      <x:c r="L139" s="3" t="s">
        <x:v>1109</x:v>
      </x:c>
      <x:c r="M139" s="8" t="str">
        <x:v>Agent Reviewer 1</x:v>
      </x:c>
      <x:c r="N139" s="8" t="str">
        <x:v>Exclude</x:v>
      </x:c>
      <x:c r="O139" s="8" t="str">
        <x:v>Animal or laboratory study</x:v>
      </x:c>
      <x:c r="P139" s="8" t="str">
        <x:v>High</x:v>
      </x:c>
      <x:c r="Q139" s="8" t="str">
        <x:v>Animal, ex vivo, or mechanistic laboratory study without eligible clinical surgical outcomes.</x:v>
      </x:c>
      <x:c r="R139" s="8" t="str">
        <x:v>2026-08-02 12:36 KST</x:v>
      </x:c>
    </x:row>
    <x:row r="140" ht="70" customHeight="1">
      <x:c r="A140" s="3" t="s">
        <x:v>1110</x:v>
      </x:c>
      <x:c r="B140" s="3" t="s">
        <x:v>651</x:v>
      </x:c>
      <x:c r="C140" s="3" t="s">
        <x:v>1111</x:v>
      </x:c>
      <x:c r="D140" s="3" t="s">
        <x:v>1112</x:v>
      </x:c>
      <x:c r="E140" s="3" t="s">
        <x:v>1113</x:v>
      </x:c>
      <x:c r="F140" s="3" t="s">
        <x:v>70</x:v>
      </x:c>
      <x:c r="G140" s="3" t="s">
        <x:v>1114</x:v>
      </x:c>
      <x:c r="H140" s="3" t="s">
        <x:v>1115</x:v>
      </x:c>
      <x:c r="I140" s="3" t="s">
        <x:v>1116</x:v>
      </x:c>
      <x:c r="J140" s="3" t="s">
        <x:v>658</x:v>
      </x:c>
      <x:c r="K140" s="3" t="s">
        <x:v>75</x:v>
      </x:c>
      <x:c r="L140" s="3" t="s">
        <x:v>1117</x:v>
      </x:c>
      <x:c r="M140" s="8" t="str">
        <x:v>Agent Reviewer 1</x:v>
      </x:c>
      <x:c r="N140" s="8" t="str">
        <x:v>Include</x:v>
      </x:c>
      <x:c r="O140" s="8" t="str"/>
      <x:c r="P140" s="8" t="str">
        <x:v>High</x:v>
      </x:c>
      <x:c r="Q140" s="8" t="str">
        <x:v>Potentially eligible primary human study directly evaluating SGLT2 inhibitor exposure or intervention in a cardiac-surgery population.</x:v>
      </x:c>
      <x:c r="R140" s="8" t="str">
        <x:v>2026-08-02 12:36 KST</x:v>
      </x:c>
    </x:row>
    <x:row r="141" ht="70" customHeight="1">
      <x:c r="A141" s="3" t="s">
        <x:v>1118</x:v>
      </x:c>
      <x:c r="B141" s="3" t="s">
        <x:v>651</x:v>
      </x:c>
      <x:c r="C141" s="3" t="s">
        <x:v>1119</x:v>
      </x:c>
      <x:c r="D141" s="3" t="s">
        <x:v>1120</x:v>
      </x:c>
      <x:c r="E141" s="3" t="s">
        <x:v>1121</x:v>
      </x:c>
      <x:c r="F141" s="3" t="s">
        <x:v>182</x:v>
      </x:c>
      <x:c r="G141" s="3" t="s">
        <x:v>978</x:v>
      </x:c>
      <x:c r="H141" s="3" t="s">
        <x:v>1122</x:v>
      </x:c>
      <x:c r="I141" s="3" t="s">
        <x:v>1123</x:v>
      </x:c>
      <x:c r="J141" s="3" t="s">
        <x:v>814</x:v>
      </x:c>
      <x:c r="K141" s="3" t="s">
        <x:v>75</x:v>
      </x:c>
      <x:c r="L141" s="3" t="s">
        <x:v>1124</x:v>
      </x:c>
      <x:c r="M141" s="8" t="str">
        <x:v>Agent Reviewer 1</x:v>
      </x:c>
      <x:c r="N141" s="8" t="str">
        <x:v>Exclude</x:v>
      </x:c>
      <x:c r="O141" s="8" t="str">
        <x:v>Animal or laboratory study</x:v>
      </x:c>
      <x:c r="P141" s="8" t="str">
        <x:v>High</x:v>
      </x:c>
      <x:c r="Q141" s="8" t="str">
        <x:v>Animal, ex vivo, or mechanistic laboratory study without eligible clinical surgical outcomes.</x:v>
      </x:c>
      <x:c r="R141" s="8" t="str">
        <x:v>2026-08-02 12:36 KST</x:v>
      </x:c>
    </x:row>
    <x:row r="142" ht="70" customHeight="1">
      <x:c r="A142" s="3" t="s">
        <x:v>1125</x:v>
      </x:c>
      <x:c r="B142" s="3" t="s">
        <x:v>651</x:v>
      </x:c>
      <x:c r="C142" s="3" t="s">
        <x:v>1126</x:v>
      </x:c>
      <x:c r="D142" s="3" t="s">
        <x:v>1127</x:v>
      </x:c>
      <x:c r="E142" s="3" t="s">
        <x:v>1128</x:v>
      </x:c>
      <x:c r="F142" s="3" t="s">
        <x:v>182</x:v>
      </x:c>
      <x:c r="G142" s="3" t="s">
        <x:v>1129</x:v>
      </x:c>
      <x:c r="H142" s="3" t="s">
        <x:v>1130</x:v>
      </x:c>
      <x:c r="I142" s="3" t="s">
        <x:v>1131</x:v>
      </x:c>
      <x:c r="J142" s="3" t="s">
        <x:v>1132</x:v>
      </x:c>
      <x:c r="K142" s="3" t="s">
        <x:v>75</x:v>
      </x:c>
      <x:c r="L142" s="3" t="s">
        <x:v>1133</x:v>
      </x:c>
      <x:c r="M142" s="8" t="str">
        <x:v>Agent Reviewer 1</x:v>
      </x:c>
      <x:c r="N142" s="8" t="str">
        <x:v>Exclude</x:v>
      </x:c>
      <x:c r="O142" s="8" t="str">
        <x:v>Protocol, editorial, commentary, or review</x:v>
      </x:c>
      <x:c r="P142" s="8" t="str">
        <x:v>High</x:v>
      </x:c>
      <x:c r="Q142" s="8" t="str">
        <x:v>Secondary review/meta-analysis rather than an eligible primary study.</x:v>
      </x:c>
      <x:c r="R142" s="8" t="str">
        <x:v>2026-08-02 12:36 KST</x:v>
      </x:c>
    </x:row>
    <x:row r="143" ht="70" customHeight="1">
      <x:c r="A143" s="3" t="s">
        <x:v>1134</x:v>
      </x:c>
      <x:c r="B143" s="3" t="s">
        <x:v>651</x:v>
      </x:c>
      <x:c r="C143" s="3" t="s">
        <x:v>1135</x:v>
      </x:c>
      <x:c r="D143" s="3" t="s">
        <x:v>1136</x:v>
      </x:c>
      <x:c r="E143" s="3" t="s">
        <x:v>1137</x:v>
      </x:c>
      <x:c r="F143" s="3" t="s">
        <x:v>182</x:v>
      </x:c>
      <x:c r="G143" s="3" t="s">
        <x:v>1138</x:v>
      </x:c>
      <x:c r="H143" s="3" t="s">
        <x:v>1139</x:v>
      </x:c>
      <x:c r="I143" s="3" t="s">
        <x:v>1140</x:v>
      </x:c>
      <x:c r="J143" s="3" t="s">
        <x:v>814</x:v>
      </x:c>
      <x:c r="K143" s="3" t="s">
        <x:v>75</x:v>
      </x:c>
      <x:c r="L143" s="3" t="s">
        <x:v>1141</x:v>
      </x:c>
      <x:c r="M143" s="8" t="str">
        <x:v>Agent Reviewer 1</x:v>
      </x:c>
      <x:c r="N143" s="8" t="str">
        <x:v>Exclude</x:v>
      </x:c>
      <x:c r="O143" s="8" t="str">
        <x:v>Animal or laboratory study</x:v>
      </x:c>
      <x:c r="P143" s="8" t="str">
        <x:v>High</x:v>
      </x:c>
      <x:c r="Q143" s="8" t="str">
        <x:v>Animal, ex vivo, or mechanistic laboratory study without eligible clinical surgical outcomes.</x:v>
      </x:c>
      <x:c r="R143" s="8" t="str">
        <x:v>2026-08-02 12:36 KST</x:v>
      </x:c>
    </x:row>
    <x:row r="144" ht="70" customHeight="1">
      <x:c r="A144" s="3" t="s">
        <x:v>1142</x:v>
      </x:c>
      <x:c r="B144" s="3" t="s">
        <x:v>651</x:v>
      </x:c>
      <x:c r="C144" s="3" t="s">
        <x:v>1143</x:v>
      </x:c>
      <x:c r="D144" s="3" t="s">
        <x:v>1144</x:v>
      </x:c>
      <x:c r="E144" s="3" t="s">
        <x:v>1145</x:v>
      </x:c>
      <x:c r="F144" s="3" t="s">
        <x:v>182</x:v>
      </x:c>
      <x:c r="G144" s="3" t="s">
        <x:v>1146</x:v>
      </x:c>
      <x:c r="H144" s="3" t="s">
        <x:v>1147</x:v>
      </x:c>
      <x:c r="I144" s="3" t="s">
        <x:v>1148</x:v>
      </x:c>
      <x:c r="J144" s="3" t="s">
        <x:v>658</x:v>
      </x:c>
      <x:c r="K144" s="3" t="s">
        <x:v>75</x:v>
      </x:c>
      <x:c r="L144" s="3" t="s">
        <x:v>1149</x:v>
      </x:c>
      <x:c r="M144" s="8" t="str">
        <x:v>Agent Reviewer 1</x:v>
      </x:c>
      <x:c r="N144" s="8" t="str">
        <x:v>Exclude</x:v>
      </x:c>
      <x:c r="O144" s="8" t="str">
        <x:v>Animal or laboratory study</x:v>
      </x:c>
      <x:c r="P144" s="8" t="str">
        <x:v>High</x:v>
      </x:c>
      <x:c r="Q144" s="8" t="str">
        <x:v>Animal, ex vivo, or mechanistic laboratory study without eligible clinical surgical outcomes.</x:v>
      </x:c>
      <x:c r="R144" s="8" t="str">
        <x:v>2026-08-02 12:36 KST</x:v>
      </x:c>
    </x:row>
    <x:row r="145" ht="70" customHeight="1">
      <x:c r="A145" s="3" t="s">
        <x:v>1150</x:v>
      </x:c>
      <x:c r="B145" s="3" t="s">
        <x:v>651</x:v>
      </x:c>
      <x:c r="C145" s="3" t="s">
        <x:v>1151</x:v>
      </x:c>
      <x:c r="D145" s="3"/>
      <x:c r="E145" s="3" t="s">
        <x:v>1152</x:v>
      </x:c>
      <x:c r="F145" s="3" t="s">
        <x:v>182</x:v>
      </x:c>
      <x:c r="G145" s="3" t="s">
        <x:v>1153</x:v>
      </x:c>
      <x:c r="H145" s="3" t="s">
        <x:v>1154</x:v>
      </x:c>
      <x:c r="I145" s="3" t="s">
        <x:v>1155</x:v>
      </x:c>
      <x:c r="J145" s="3" t="s">
        <x:v>1156</x:v>
      </x:c>
      <x:c r="K145" s="3" t="s">
        <x:v>86</x:v>
      </x:c>
      <x:c r="L145" s="3" t="s">
        <x:v>1157</x:v>
      </x:c>
      <x:c r="M145" s="8" t="str">
        <x:v>Agent Reviewer 1</x:v>
      </x:c>
      <x:c r="N145" s="8" t="str">
        <x:v>Exclude</x:v>
      </x:c>
      <x:c r="O145" s="8" t="str">
        <x:v>Protocol, editorial, commentary, or review</x:v>
      </x:c>
      <x:c r="P145" s="8" t="str">
        <x:v>High</x:v>
      </x:c>
      <x:c r="Q145" s="8" t="str">
        <x:v>Protocol, registry, editorial, commentary, or letter without eligible completed primary outcomes.</x:v>
      </x:c>
      <x:c r="R145" s="8" t="str">
        <x:v>2026-08-02 12:36 KST</x:v>
      </x:c>
    </x:row>
    <x:row r="146" ht="70" customHeight="1">
      <x:c r="A146" s="3" t="s">
        <x:v>1158</x:v>
      </x:c>
      <x:c r="B146" s="3" t="s">
        <x:v>651</x:v>
      </x:c>
      <x:c r="C146" s="3" t="s">
        <x:v>1159</x:v>
      </x:c>
      <x:c r="D146" s="3" t="s">
        <x:v>1160</x:v>
      </x:c>
      <x:c r="E146" s="3" t="s">
        <x:v>1161</x:v>
      </x:c>
      <x:c r="F146" s="3" t="s">
        <x:v>182</x:v>
      </x:c>
      <x:c r="G146" s="3" t="s">
        <x:v>1162</x:v>
      </x:c>
      <x:c r="H146" s="3" t="s">
        <x:v>1163</x:v>
      </x:c>
      <x:c r="I146" s="3" t="s">
        <x:v>1164</x:v>
      </x:c>
      <x:c r="J146" s="3" t="s">
        <x:v>658</x:v>
      </x:c>
      <x:c r="K146" s="3" t="s">
        <x:v>75</x:v>
      </x:c>
      <x:c r="L146" s="3" t="s">
        <x:v>1165</x:v>
      </x:c>
      <x:c r="M146" s="8" t="str">
        <x:v>Agent Reviewer 1</x:v>
      </x:c>
      <x:c r="N146" s="8" t="str">
        <x:v>Include</x:v>
      </x:c>
      <x:c r="O146" s="8" t="str"/>
      <x:c r="P146" s="8" t="str">
        <x:v>High</x:v>
      </x:c>
      <x:c r="Q146" s="8" t="str">
        <x:v>Potentially eligible primary human study directly evaluating SGLT2 inhibitor exposure or intervention in a cardiac-surgery population.</x:v>
      </x:c>
      <x:c r="R146" s="8" t="str">
        <x:v>2026-08-02 12:36 KST</x:v>
      </x:c>
    </x:row>
    <x:row r="147" ht="70" customHeight="1">
      <x:c r="A147" s="3" t="s">
        <x:v>1166</x:v>
      </x:c>
      <x:c r="B147" s="3" t="s">
        <x:v>651</x:v>
      </x:c>
      <x:c r="C147" s="3" t="s">
        <x:v>1167</x:v>
      </x:c>
      <x:c r="D147" s="3" t="s">
        <x:v>1168</x:v>
      </x:c>
      <x:c r="E147" s="3" t="s">
        <x:v>1169</x:v>
      </x:c>
      <x:c r="F147" s="3" t="s">
        <x:v>92</x:v>
      </x:c>
      <x:c r="G147" s="3" t="s">
        <x:v>1170</x:v>
      </x:c>
      <x:c r="H147" s="3" t="s">
        <x:v>1171</x:v>
      </x:c>
      <x:c r="I147" s="3" t="s">
        <x:v>1172</x:v>
      </x:c>
      <x:c r="J147" s="3" t="s">
        <x:v>658</x:v>
      </x:c>
      <x:c r="K147" s="3" t="s">
        <x:v>75</x:v>
      </x:c>
      <x:c r="L147" s="3" t="s">
        <x:v>1173</x:v>
      </x:c>
      <x:c r="M147" s="8" t="str">
        <x:v>Agent Reviewer 1</x:v>
      </x:c>
      <x:c r="N147" s="8" t="str">
        <x:v>Include</x:v>
      </x:c>
      <x:c r="O147" s="8" t="str"/>
      <x:c r="P147" s="8" t="str">
        <x:v>High</x:v>
      </x:c>
      <x:c r="Q147" s="8" t="str">
        <x:v>Potentially eligible primary human study directly evaluating SGLT2 inhibitor exposure or intervention in a cardiac-surgery population.</x:v>
      </x:c>
      <x:c r="R147" s="8" t="str">
        <x:v>2026-08-02 12:36 KST</x:v>
      </x:c>
    </x:row>
    <x:row r="148" ht="70" customHeight="1">
      <x:c r="A148" s="3" t="s">
        <x:v>1174</x:v>
      </x:c>
      <x:c r="B148" s="3" t="s">
        <x:v>651</x:v>
      </x:c>
      <x:c r="C148" s="3" t="s">
        <x:v>1175</x:v>
      </x:c>
      <x:c r="D148" s="3" t="s">
        <x:v>1176</x:v>
      </x:c>
      <x:c r="E148" s="3" t="s">
        <x:v>1177</x:v>
      </x:c>
      <x:c r="F148" s="3" t="s">
        <x:v>182</x:v>
      </x:c>
      <x:c r="G148" s="3" t="s">
        <x:v>730</x:v>
      </x:c>
      <x:c r="H148" s="3" t="s">
        <x:v>1178</x:v>
      </x:c>
      <x:c r="I148" s="3" t="s">
        <x:v>1179</x:v>
      </x:c>
      <x:c r="J148" s="3" t="s">
        <x:v>1132</x:v>
      </x:c>
      <x:c r="K148" s="3" t="s">
        <x:v>75</x:v>
      </x:c>
      <x:c r="L148" s="3" t="s">
        <x:v>1180</x:v>
      </x:c>
      <x:c r="M148" s="8" t="str">
        <x:v>Agent Reviewer 1</x:v>
      </x:c>
      <x:c r="N148" s="8" t="str">
        <x:v>Exclude</x:v>
      </x:c>
      <x:c r="O148" s="8" t="str">
        <x:v>Protocol, editorial, commentary, or review</x:v>
      </x:c>
      <x:c r="P148" s="8" t="str">
        <x:v>High</x:v>
      </x:c>
      <x:c r="Q148" s="8" t="str">
        <x:v>Secondary review/meta-analysis rather than an eligible primary study.</x:v>
      </x:c>
      <x:c r="R148" s="8" t="str">
        <x:v>2026-08-02 12:36 KST</x:v>
      </x:c>
    </x:row>
    <x:row r="149" ht="70" customHeight="1">
      <x:c r="A149" s="3" t="s">
        <x:v>1181</x:v>
      </x:c>
      <x:c r="B149" s="3" t="s">
        <x:v>651</x:v>
      </x:c>
      <x:c r="C149" s="3" t="s">
        <x:v>1182</x:v>
      </x:c>
      <x:c r="D149" s="3" t="s">
        <x:v>1183</x:v>
      </x:c>
      <x:c r="E149" s="3" t="s">
        <x:v>1184</x:v>
      </x:c>
      <x:c r="F149" s="3" t="s">
        <x:v>182</x:v>
      </x:c>
      <x:c r="G149" s="3" t="s">
        <x:v>390</x:v>
      </x:c>
      <x:c r="H149" s="3" t="s">
        <x:v>1185</x:v>
      </x:c>
      <x:c r="I149" s="3" t="s">
        <x:v>1186</x:v>
      </x:c>
      <x:c r="J149" s="3" t="s">
        <x:v>1187</x:v>
      </x:c>
      <x:c r="K149" s="3" t="s">
        <x:v>75</x:v>
      </x:c>
      <x:c r="L149" s="3" t="s">
        <x:v>1188</x:v>
      </x:c>
      <x:c r="M149" s="8" t="str">
        <x:v>Agent Reviewer 1</x:v>
      </x:c>
      <x:c r="N149" s="8" t="str">
        <x:v>Exclude</x:v>
      </x:c>
      <x:c r="O149" s="8" t="str">
        <x:v>No relevant clinical outcome</x:v>
      </x:c>
      <x:c r="P149" s="8" t="str">
        <x:v>Moderate</x:v>
      </x:c>
      <x:c r="Q149" s="8" t="str">
        <x:v>Cardiac-surgery context is present, but the study does not evaluate eligible clinical effects of SGLT2 inhibitor exposure.</x:v>
      </x:c>
      <x:c r="R149" s="8" t="str">
        <x:v>2026-08-02 12:36 KST</x:v>
      </x:c>
    </x:row>
    <x:row r="150" ht="70" customHeight="1">
      <x:c r="A150" s="3" t="s">
        <x:v>1189</x:v>
      </x:c>
      <x:c r="B150" s="3" t="s">
        <x:v>651</x:v>
      </x:c>
      <x:c r="C150" s="3" t="s">
        <x:v>1190</x:v>
      </x:c>
      <x:c r="D150" s="3" t="s">
        <x:v>1191</x:v>
      </x:c>
      <x:c r="E150" s="3" t="s">
        <x:v>1192</x:v>
      </x:c>
      <x:c r="F150" s="3" t="s">
        <x:v>70</x:v>
      </x:c>
      <x:c r="G150" s="3" t="s">
        <x:v>1114</x:v>
      </x:c>
      <x:c r="H150" s="3" t="s">
        <x:v>1193</x:v>
      </x:c>
      <x:c r="I150" s="3" t="s">
        <x:v>1194</x:v>
      </x:c>
      <x:c r="J150" s="3" t="s">
        <x:v>658</x:v>
      </x:c>
      <x:c r="K150" s="3" t="s">
        <x:v>75</x:v>
      </x:c>
      <x:c r="L150" s="3" t="s">
        <x:v>1195</x:v>
      </x:c>
      <x:c r="M150" s="8" t="str">
        <x:v>Agent Reviewer 1</x:v>
      </x:c>
      <x:c r="N150" s="8" t="str">
        <x:v>Exclude</x:v>
      </x:c>
      <x:c r="O150" s="8" t="str">
        <x:v>Not cardiac surgery</x:v>
      </x:c>
      <x:c r="P150" s="8" t="str">
        <x:v>High</x:v>
      </x:c>
      <x:c r="Q150" s="8" t="str">
        <x:v>Population or procedure is not cardiac surgery.</x:v>
      </x:c>
      <x:c r="R150" s="8" t="str">
        <x:v>2026-08-02 12:36 KST</x:v>
      </x:c>
    </x:row>
    <x:row r="151" ht="70" customHeight="1">
      <x:c r="A151" s="3" t="s">
        <x:v>1196</x:v>
      </x:c>
      <x:c r="B151" s="3" t="s">
        <x:v>651</x:v>
      </x:c>
      <x:c r="C151" s="3" t="s">
        <x:v>1197</x:v>
      </x:c>
      <x:c r="D151" s="3" t="s">
        <x:v>1198</x:v>
      </x:c>
      <x:c r="E151" s="3" t="s">
        <x:v>1199</x:v>
      </x:c>
      <x:c r="F151" s="3" t="s">
        <x:v>92</x:v>
      </x:c>
      <x:c r="G151" s="3" t="s">
        <x:v>664</x:v>
      </x:c>
      <x:c r="H151" s="3" t="s">
        <x:v>1200</x:v>
      </x:c>
      <x:c r="I151" s="3" t="s">
        <x:v>1201</x:v>
      </x:c>
      <x:c r="J151" s="3" t="s">
        <x:v>658</x:v>
      </x:c>
      <x:c r="K151" s="3" t="s">
        <x:v>75</x:v>
      </x:c>
      <x:c r="L151" s="3" t="s">
        <x:v>1202</x:v>
      </x:c>
      <x:c r="M151" s="8" t="str">
        <x:v>Agent Reviewer 1</x:v>
      </x:c>
      <x:c r="N151" s="8" t="str">
        <x:v>Exclude</x:v>
      </x:c>
      <x:c r="O151" s="8" t="str">
        <x:v>Wrong population</x:v>
      </x:c>
      <x:c r="P151" s="8" t="str">
        <x:v>High</x:v>
      </x:c>
      <x:c r="Q151" s="8" t="str">
        <x:v>Surgical population is not restricted to cardiac surgery.</x:v>
      </x:c>
      <x:c r="R151" s="8" t="str">
        <x:v>2026-08-02 12:36 KST</x:v>
      </x:c>
    </x:row>
    <x:row r="152" ht="70" customHeight="1">
      <x:c r="A152" s="3" t="s">
        <x:v>1203</x:v>
      </x:c>
      <x:c r="B152" s="3" t="s">
        <x:v>651</x:v>
      </x:c>
      <x:c r="C152" s="3" t="s">
        <x:v>1204</x:v>
      </x:c>
      <x:c r="D152" s="3" t="s">
        <x:v>1205</x:v>
      </x:c>
      <x:c r="E152" s="3" t="s">
        <x:v>1206</x:v>
      </x:c>
      <x:c r="F152" s="3" t="s">
        <x:v>92</x:v>
      </x:c>
      <x:c r="G152" s="3" t="s">
        <x:v>1207</x:v>
      </x:c>
      <x:c r="H152" s="3" t="s">
        <x:v>1208</x:v>
      </x:c>
      <x:c r="I152" s="3" t="s">
        <x:v>1209</x:v>
      </x:c>
      <x:c r="J152" s="3" t="s">
        <x:v>658</x:v>
      </x:c>
      <x:c r="K152" s="3" t="s">
        <x:v>1210</x:v>
      </x:c>
      <x:c r="L152" s="3" t="s">
        <x:v>1211</x:v>
      </x:c>
      <x:c r="M152" s="8" t="str">
        <x:v>Agent Reviewer 1</x:v>
      </x:c>
      <x:c r="N152" s="8" t="str">
        <x:v>Exclude</x:v>
      </x:c>
      <x:c r="O152" s="8" t="str">
        <x:v>No relevant clinical outcome</x:v>
      </x:c>
      <x:c r="P152" s="8" t="str">
        <x:v>Moderate</x:v>
      </x:c>
      <x:c r="Q152" s="8" t="str">
        <x:v>Cardiac-surgery context is present, but the study does not evaluate eligible clinical effects of SGLT2 inhibitor exposure.</x:v>
      </x:c>
      <x:c r="R152" s="8" t="str">
        <x:v>2026-08-02 12:36 KST</x:v>
      </x:c>
    </x:row>
    <x:row r="153" ht="70" customHeight="1">
      <x:c r="A153" s="3" t="s">
        <x:v>1212</x:v>
      </x:c>
      <x:c r="B153" s="3" t="s">
        <x:v>651</x:v>
      </x:c>
      <x:c r="C153" s="3" t="s">
        <x:v>1213</x:v>
      </x:c>
      <x:c r="D153" s="3" t="s">
        <x:v>1214</x:v>
      </x:c>
      <x:c r="E153" s="3" t="s">
        <x:v>1215</x:v>
      </x:c>
      <x:c r="F153" s="3" t="s">
        <x:v>81</x:v>
      </x:c>
      <x:c r="G153" s="3" t="s">
        <x:v>154</x:v>
      </x:c>
      <x:c r="H153" s="3" t="s">
        <x:v>1216</x:v>
      </x:c>
      <x:c r="I153" s="3" t="s">
        <x:v>1217</x:v>
      </x:c>
      <x:c r="J153" s="3" t="s">
        <x:v>814</x:v>
      </x:c>
      <x:c r="K153" s="3" t="s">
        <x:v>75</x:v>
      </x:c>
      <x:c r="L153" s="3" t="s">
        <x:v>1218</x:v>
      </x:c>
      <x:c r="M153" s="8" t="str">
        <x:v>Agent Reviewer 1</x:v>
      </x:c>
      <x:c r="N153" s="8" t="str">
        <x:v>Exclude</x:v>
      </x:c>
      <x:c r="O153" s="8" t="str">
        <x:v>No relevant clinical outcome</x:v>
      </x:c>
      <x:c r="P153" s="8" t="str">
        <x:v>High</x:v>
      </x:c>
      <x:c r="Q153" s="8" t="str">
        <x:v>Focuses on prescribing/medication uptake rather than relevant clinical outcomes of SGLT2 exposure.</x:v>
      </x:c>
      <x:c r="R153" s="8" t="str">
        <x:v>2026-08-02 12:36 KST</x:v>
      </x:c>
    </x:row>
    <x:row r="154" ht="70" customHeight="1">
      <x:c r="A154" s="3" t="s">
        <x:v>1219</x:v>
      </x:c>
      <x:c r="B154" s="3" t="s">
        <x:v>651</x:v>
      </x:c>
      <x:c r="C154" s="3" t="s">
        <x:v>1220</x:v>
      </x:c>
      <x:c r="D154" s="3" t="s">
        <x:v>1221</x:v>
      </x:c>
      <x:c r="E154" s="3" t="s">
        <x:v>1222</x:v>
      </x:c>
      <x:c r="F154" s="3" t="s">
        <x:v>81</x:v>
      </x:c>
      <x:c r="G154" s="3" t="s">
        <x:v>1223</x:v>
      </x:c>
      <x:c r="H154" s="3" t="s">
        <x:v>1224</x:v>
      </x:c>
      <x:c r="I154" s="3" t="s">
        <x:v>1225</x:v>
      </x:c>
      <x:c r="J154" s="3" t="s">
        <x:v>658</x:v>
      </x:c>
      <x:c r="K154" s="3" t="s">
        <x:v>75</x:v>
      </x:c>
      <x:c r="L154" s="3" t="s">
        <x:v>1226</x:v>
      </x:c>
      <x:c r="M154" s="8" t="str">
        <x:v>Agent Reviewer 1</x:v>
      </x:c>
      <x:c r="N154" s="8" t="str">
        <x:v>Include</x:v>
      </x:c>
      <x:c r="O154" s="8" t="str"/>
      <x:c r="P154" s="8" t="str">
        <x:v>High</x:v>
      </x:c>
      <x:c r="Q154" s="8" t="str">
        <x:v>Potentially eligible primary human study directly evaluating SGLT2 inhibitor exposure or intervention in a cardiac-surgery population.</x:v>
      </x:c>
      <x:c r="R154" s="8" t="str">
        <x:v>2026-08-02 12:36 KST</x:v>
      </x:c>
    </x:row>
    <x:row r="155" ht="70" customHeight="1">
      <x:c r="A155" s="3" t="s">
        <x:v>1227</x:v>
      </x:c>
      <x:c r="B155" s="3" t="s">
        <x:v>651</x:v>
      </x:c>
      <x:c r="C155" s="3" t="s">
        <x:v>1228</x:v>
      </x:c>
      <x:c r="D155" s="3" t="s">
        <x:v>1229</x:v>
      </x:c>
      <x:c r="E155" s="3" t="s">
        <x:v>1230</x:v>
      </x:c>
      <x:c r="F155" s="3" t="s">
        <x:v>81</x:v>
      </x:c>
      <x:c r="G155" s="3" t="s">
        <x:v>1231</x:v>
      </x:c>
      <x:c r="H155" s="3" t="s">
        <x:v>1232</x:v>
      </x:c>
      <x:c r="I155" s="3" t="s">
        <x:v>1233</x:v>
      </x:c>
      <x:c r="J155" s="3" t="s">
        <x:v>658</x:v>
      </x:c>
      <x:c r="K155" s="3" t="s">
        <x:v>75</x:v>
      </x:c>
      <x:c r="L155" s="3" t="s">
        <x:v>1234</x:v>
      </x:c>
      <x:c r="M155" s="8" t="str">
        <x:v>Agent Reviewer 1</x:v>
      </x:c>
      <x:c r="N155" s="8" t="str">
        <x:v>Exclude</x:v>
      </x:c>
      <x:c r="O155" s="8" t="str">
        <x:v>Wrong study design</x:v>
      </x:c>
      <x:c r="P155" s="8" t="str">
        <x:v>High</x:v>
      </x:c>
      <x:c r="Q155" s="8" t="str">
        <x:v>Case report or case series; not an eligible comparative/cohort study.</x:v>
      </x:c>
      <x:c r="R155" s="8" t="str">
        <x:v>2026-08-02 12:36 KST</x:v>
      </x:c>
    </x:row>
    <x:row r="156" ht="70" customHeight="1">
      <x:c r="A156" s="3" t="s">
        <x:v>1235</x:v>
      </x:c>
      <x:c r="B156" s="3" t="s">
        <x:v>651</x:v>
      </x:c>
      <x:c r="C156" s="3" t="s">
        <x:v>1236</x:v>
      </x:c>
      <x:c r="D156" s="3" t="s">
        <x:v>1237</x:v>
      </x:c>
      <x:c r="E156" s="3" t="s">
        <x:v>1238</x:v>
      </x:c>
      <x:c r="F156" s="3" t="s">
        <x:v>81</x:v>
      </x:c>
      <x:c r="G156" s="3" t="s">
        <x:v>827</x:v>
      </x:c>
      <x:c r="H156" s="3" t="s">
        <x:v>1239</x:v>
      </x:c>
      <x:c r="I156" s="3" t="s">
        <x:v>1240</x:v>
      </x:c>
      <x:c r="J156" s="3" t="s">
        <x:v>757</x:v>
      </x:c>
      <x:c r="K156" s="3" t="s">
        <x:v>75</x:v>
      </x:c>
      <x:c r="L156" s="3" t="s">
        <x:v>1241</x:v>
      </x:c>
      <x:c r="M156" s="8" t="str">
        <x:v>Agent Reviewer 1</x:v>
      </x:c>
      <x:c r="N156" s="8" t="str">
        <x:v>Exclude</x:v>
      </x:c>
      <x:c r="O156" s="8" t="str">
        <x:v>Protocol, editorial, commentary, or review</x:v>
      </x:c>
      <x:c r="P156" s="8" t="str">
        <x:v>High</x:v>
      </x:c>
      <x:c r="Q156" s="8" t="str">
        <x:v>Secondary review/meta-analysis rather than an eligible primary study.</x:v>
      </x:c>
      <x:c r="R156" s="8" t="str">
        <x:v>2026-08-02 12:36 KST</x:v>
      </x:c>
    </x:row>
    <x:row r="157" ht="70" customHeight="1">
      <x:c r="A157" s="3" t="s">
        <x:v>1242</x:v>
      </x:c>
      <x:c r="B157" s="3" t="s">
        <x:v>651</x:v>
      </x:c>
      <x:c r="C157" s="3" t="s">
        <x:v>1243</x:v>
      </x:c>
      <x:c r="D157" s="3" t="s">
        <x:v>1244</x:v>
      </x:c>
      <x:c r="E157" s="3" t="s">
        <x:v>1245</x:v>
      </x:c>
      <x:c r="F157" s="3" t="s">
        <x:v>81</x:v>
      </x:c>
      <x:c r="G157" s="3" t="s">
        <x:v>1246</x:v>
      </x:c>
      <x:c r="H157" s="3" t="s">
        <x:v>1247</x:v>
      </x:c>
      <x:c r="I157" s="3" t="s">
        <x:v>1248</x:v>
      </x:c>
      <x:c r="J157" s="3" t="s">
        <x:v>814</x:v>
      </x:c>
      <x:c r="K157" s="3" t="s">
        <x:v>75</x:v>
      </x:c>
      <x:c r="L157" s="3" t="s">
        <x:v>1249</x:v>
      </x:c>
      <x:c r="M157" s="8" t="str">
        <x:v>Agent Reviewer 1</x:v>
      </x:c>
      <x:c r="N157" s="8" t="str">
        <x:v>Exclude</x:v>
      </x:c>
      <x:c r="O157" s="8" t="str">
        <x:v>No relevant clinical outcome</x:v>
      </x:c>
      <x:c r="P157" s="8" t="str">
        <x:v>Moderate</x:v>
      </x:c>
      <x:c r="Q157" s="8" t="str">
        <x:v>Cardiac-surgery context is present, but the study does not evaluate eligible clinical effects of SGLT2 inhibitor exposure.</x:v>
      </x:c>
      <x:c r="R157" s="8" t="str">
        <x:v>2026-08-02 12:36 KST</x:v>
      </x:c>
    </x:row>
    <x:row r="158" ht="70" customHeight="1">
      <x:c r="A158" s="3" t="s">
        <x:v>1250</x:v>
      </x:c>
      <x:c r="B158" s="3" t="s">
        <x:v>651</x:v>
      </x:c>
      <x:c r="C158" s="3" t="s">
        <x:v>1251</x:v>
      </x:c>
      <x:c r="D158" s="3" t="s">
        <x:v>1252</x:v>
      </x:c>
      <x:c r="E158" s="3" t="s">
        <x:v>1253</x:v>
      </x:c>
      <x:c r="F158" s="3" t="s">
        <x:v>81</x:v>
      </x:c>
      <x:c r="G158" s="3" t="s">
        <x:v>1254</x:v>
      </x:c>
      <x:c r="H158" s="3" t="s">
        <x:v>1255</x:v>
      </x:c>
      <x:c r="I158" s="3" t="s">
        <x:v>1256</x:v>
      </x:c>
      <x:c r="J158" s="3" t="s">
        <x:v>814</x:v>
      </x:c>
      <x:c r="K158" s="3" t="s">
        <x:v>75</x:v>
      </x:c>
      <x:c r="L158" s="3" t="s">
        <x:v>1257</x:v>
      </x:c>
      <x:c r="M158" s="8" t="str">
        <x:v>Agent Reviewer 1</x:v>
      </x:c>
      <x:c r="N158" s="8" t="str">
        <x:v>Include</x:v>
      </x:c>
      <x:c r="O158" s="8" t="str"/>
      <x:c r="P158" s="8" t="str">
        <x:v>High</x:v>
      </x:c>
      <x:c r="Q158" s="8" t="str">
        <x:v>Potentially eligible primary human study directly evaluating SGLT2 inhibitor exposure or intervention in a cardiac-surgery population.</x:v>
      </x:c>
      <x:c r="R158" s="8" t="str">
        <x:v>2026-08-02 12:36 KST</x:v>
      </x:c>
    </x:row>
    <x:row r="159" ht="70" customHeight="1">
      <x:c r="A159" s="3" t="s">
        <x:v>1258</x:v>
      </x:c>
      <x:c r="B159" s="3" t="s">
        <x:v>651</x:v>
      </x:c>
      <x:c r="C159" s="3" t="s">
        <x:v>1259</x:v>
      </x:c>
      <x:c r="D159" s="3" t="s">
        <x:v>1260</x:v>
      </x:c>
      <x:c r="E159" s="3" t="s">
        <x:v>1261</x:v>
      </x:c>
      <x:c r="F159" s="3" t="s">
        <x:v>81</x:v>
      </x:c>
      <x:c r="G159" s="3" t="s">
        <x:v>1098</x:v>
      </x:c>
      <x:c r="H159" s="3" t="s">
        <x:v>1262</x:v>
      </x:c>
      <x:c r="I159" s="3" t="s">
        <x:v>1263</x:v>
      </x:c>
      <x:c r="J159" s="3" t="s">
        <x:v>757</x:v>
      </x:c>
      <x:c r="K159" s="3" t="s">
        <x:v>75</x:v>
      </x:c>
      <x:c r="L159" s="3" t="s">
        <x:v>1264</x:v>
      </x:c>
      <x:c r="M159" s="8" t="str">
        <x:v>Agent Reviewer 1</x:v>
      </x:c>
      <x:c r="N159" s="8" t="str">
        <x:v>Exclude</x:v>
      </x:c>
      <x:c r="O159" s="8" t="str">
        <x:v>Protocol, editorial, commentary, or review</x:v>
      </x:c>
      <x:c r="P159" s="8" t="str">
        <x:v>High</x:v>
      </x:c>
      <x:c r="Q159" s="8" t="str">
        <x:v>Secondary review/meta-analysis rather than an eligible primary study.</x:v>
      </x:c>
      <x:c r="R159" s="8" t="str">
        <x:v>2026-08-02 12:36 KST</x:v>
      </x:c>
    </x:row>
    <x:row r="160" ht="70" customHeight="1">
      <x:c r="A160" s="3" t="s">
        <x:v>1265</x:v>
      </x:c>
      <x:c r="B160" s="3" t="s">
        <x:v>651</x:v>
      </x:c>
      <x:c r="C160" s="3" t="s">
        <x:v>1266</x:v>
      </x:c>
      <x:c r="D160" s="3"/>
      <x:c r="E160" s="3" t="s">
        <x:v>1267</x:v>
      </x:c>
      <x:c r="F160" s="3" t="s">
        <x:v>81</x:v>
      </x:c>
      <x:c r="G160" s="3" t="s">
        <x:v>216</x:v>
      </x:c>
      <x:c r="H160" s="3" t="s">
        <x:v>1268</x:v>
      </x:c>
      <x:c r="I160" s="3" t="s">
        <x:v>1269</x:v>
      </x:c>
      <x:c r="J160" s="3" t="s">
        <x:v>1270</x:v>
      </x:c>
      <x:c r="K160" s="3" t="s">
        <x:v>75</x:v>
      </x:c>
      <x:c r="L160" s="3" t="s">
        <x:v>1271</x:v>
      </x:c>
      <x:c r="M160" s="8" t="str">
        <x:v>Agent Reviewer 1</x:v>
      </x:c>
      <x:c r="N160" s="8" t="str">
        <x:v>Exclude</x:v>
      </x:c>
      <x:c r="O160" s="8" t="str">
        <x:v>Protocol, editorial, commentary, or review</x:v>
      </x:c>
      <x:c r="P160" s="8" t="str">
        <x:v>High</x:v>
      </x:c>
      <x:c r="Q160" s="8" t="str">
        <x:v>Protocol, registry, editorial, commentary, or letter without eligible completed primary outcomes.</x:v>
      </x:c>
      <x:c r="R160" s="8" t="str">
        <x:v>2026-08-02 12:36 KST</x:v>
      </x:c>
    </x:row>
    <x:row r="161" ht="70" customHeight="1">
      <x:c r="A161" s="3" t="s">
        <x:v>1272</x:v>
      </x:c>
      <x:c r="B161" s="3" t="s">
        <x:v>651</x:v>
      </x:c>
      <x:c r="C161" s="3" t="s">
        <x:v>1273</x:v>
      </x:c>
      <x:c r="D161" s="3" t="s">
        <x:v>1274</x:v>
      </x:c>
      <x:c r="E161" s="3" t="s">
        <x:v>1275</x:v>
      </x:c>
      <x:c r="F161" s="3" t="s">
        <x:v>81</x:v>
      </x:c>
      <x:c r="G161" s="3" t="s">
        <x:v>1276</x:v>
      </x:c>
      <x:c r="H161" s="3" t="s">
        <x:v>1277</x:v>
      </x:c>
      <x:c r="I161" s="3" t="s">
        <x:v>1278</x:v>
      </x:c>
      <x:c r="J161" s="3" t="s">
        <x:v>871</x:v>
      </x:c>
      <x:c r="K161" s="3" t="s">
        <x:v>75</x:v>
      </x:c>
      <x:c r="L161" s="3" t="s">
        <x:v>1279</x:v>
      </x:c>
      <x:c r="M161" s="8" t="str">
        <x:v>Agent Reviewer 1</x:v>
      </x:c>
      <x:c r="N161" s="8" t="str">
        <x:v>Exclude</x:v>
      </x:c>
      <x:c r="O161" s="8" t="str">
        <x:v>Wrong study design</x:v>
      </x:c>
      <x:c r="P161" s="8" t="str">
        <x:v>High</x:v>
      </x:c>
      <x:c r="Q161" s="8" t="str">
        <x:v>Case report or case series; not an eligible comparative/cohort study.</x:v>
      </x:c>
      <x:c r="R161" s="8" t="str">
        <x:v>2026-08-02 12:36 KST</x:v>
      </x:c>
    </x:row>
    <x:row r="162" ht="70" customHeight="1">
      <x:c r="A162" s="3" t="s">
        <x:v>1280</x:v>
      </x:c>
      <x:c r="B162" s="3" t="s">
        <x:v>651</x:v>
      </x:c>
      <x:c r="C162" s="3" t="s">
        <x:v>1281</x:v>
      </x:c>
      <x:c r="D162" s="3" t="s">
        <x:v>1282</x:v>
      </x:c>
      <x:c r="E162" s="3" t="s">
        <x:v>1283</x:v>
      </x:c>
      <x:c r="F162" s="3" t="s">
        <x:v>288</x:v>
      </x:c>
      <x:c r="G162" s="3" t="s">
        <x:v>1284</x:v>
      </x:c>
      <x:c r="H162" s="3" t="s">
        <x:v>1285</x:v>
      </x:c>
      <x:c r="I162" s="3" t="s">
        <x:v>1286</x:v>
      </x:c>
      <x:c r="J162" s="3" t="s">
        <x:v>871</x:v>
      </x:c>
      <x:c r="K162" s="3" t="s">
        <x:v>75</x:v>
      </x:c>
      <x:c r="L162" s="3" t="s">
        <x:v>1287</x:v>
      </x:c>
      <x:c r="M162" s="8" t="str">
        <x:v>Agent Reviewer 1</x:v>
      </x:c>
      <x:c r="N162" s="8" t="str">
        <x:v>Exclude</x:v>
      </x:c>
      <x:c r="O162" s="8" t="str">
        <x:v>Wrong study design</x:v>
      </x:c>
      <x:c r="P162" s="8" t="str">
        <x:v>High</x:v>
      </x:c>
      <x:c r="Q162" s="8" t="str">
        <x:v>Case report or case series; not an eligible comparative/cohort study.</x:v>
      </x:c>
      <x:c r="R162" s="8" t="str">
        <x:v>2026-08-02 12:36 KST</x:v>
      </x:c>
    </x:row>
    <x:row r="163" ht="70" customHeight="1">
      <x:c r="A163" s="3" t="s">
        <x:v>1288</x:v>
      </x:c>
      <x:c r="B163" s="3" t="s">
        <x:v>651</x:v>
      </x:c>
      <x:c r="C163" s="3" t="s">
        <x:v>1289</x:v>
      </x:c>
      <x:c r="D163" s="3" t="s">
        <x:v>1290</x:v>
      </x:c>
      <x:c r="E163" s="3" t="s">
        <x:v>1291</x:v>
      </x:c>
      <x:c r="F163" s="3" t="s">
        <x:v>81</x:v>
      </x:c>
      <x:c r="G163" s="3" t="s">
        <x:v>1292</x:v>
      </x:c>
      <x:c r="H163" s="3" t="s">
        <x:v>1293</x:v>
      </x:c>
      <x:c r="I163" s="3" t="s">
        <x:v>1294</x:v>
      </x:c>
      <x:c r="J163" s="3" t="s">
        <x:v>1295</x:v>
      </x:c>
      <x:c r="K163" s="3" t="s">
        <x:v>75</x:v>
      </x:c>
      <x:c r="L163" s="3" t="s">
        <x:v>1296</x:v>
      </x:c>
      <x:c r="M163" s="8" t="str">
        <x:v>Agent Reviewer 1</x:v>
      </x:c>
      <x:c r="N163" s="8" t="str">
        <x:v>Unclear</x:v>
      </x:c>
      <x:c r="O163" s="8" t="str"/>
      <x:c r="P163" s="8" t="str">
        <x:v>Moderate</x:v>
      </x:c>
      <x:c r="Q163" s="8" t="str">
        <x:v>Potential relevance, but timing, surgical-population definition, or primary-study eligibility requires human full-text review.</x:v>
      </x:c>
      <x:c r="R163" s="8" t="str">
        <x:v>2026-08-02 12:36 KST</x:v>
      </x:c>
    </x:row>
    <x:row r="164" ht="70" customHeight="1">
      <x:c r="A164" s="3" t="s">
        <x:v>1297</x:v>
      </x:c>
      <x:c r="B164" s="3" t="s">
        <x:v>651</x:v>
      </x:c>
      <x:c r="C164" s="3" t="s">
        <x:v>1298</x:v>
      </x:c>
      <x:c r="D164" s="3" t="s">
        <x:v>1299</x:v>
      </x:c>
      <x:c r="E164" s="3" t="s">
        <x:v>1300</x:v>
      </x:c>
      <x:c r="F164" s="3" t="s">
        <x:v>288</x:v>
      </x:c>
      <x:c r="G164" s="3" t="s">
        <x:v>1301</x:v>
      </x:c>
      <x:c r="H164" s="3" t="s">
        <x:v>1302</x:v>
      </x:c>
      <x:c r="I164" s="3" t="s">
        <x:v>1303</x:v>
      </x:c>
      <x:c r="J164" s="3" t="s">
        <x:v>658</x:v>
      </x:c>
      <x:c r="K164" s="3" t="s">
        <x:v>75</x:v>
      </x:c>
      <x:c r="L164" s="3" t="s">
        <x:v>1304</x:v>
      </x:c>
      <x:c r="M164" s="8" t="str">
        <x:v>Agent Reviewer 1</x:v>
      </x:c>
      <x:c r="N164" s="8" t="str">
        <x:v>Exclude</x:v>
      </x:c>
      <x:c r="O164" s="8" t="str">
        <x:v>Wrong population</x:v>
      </x:c>
      <x:c r="P164" s="8" t="str">
        <x:v>High</x:v>
      </x:c>
      <x:c r="Q164" s="8" t="str">
        <x:v>Study population is outside the target cardiac-surgery population.</x:v>
      </x:c>
      <x:c r="R164" s="8" t="str">
        <x:v>2026-08-02 12:36 KST</x:v>
      </x:c>
    </x:row>
    <x:row r="165" ht="70" customHeight="1">
      <x:c r="A165" s="3" t="s">
        <x:v>1305</x:v>
      </x:c>
      <x:c r="B165" s="3" t="s">
        <x:v>651</x:v>
      </x:c>
      <x:c r="C165" s="3" t="s">
        <x:v>1306</x:v>
      </x:c>
      <x:c r="D165" s="3" t="s">
        <x:v>1307</x:v>
      </x:c>
      <x:c r="E165" s="3" t="s">
        <x:v>1308</x:v>
      </x:c>
      <x:c r="F165" s="3" t="s">
        <x:v>288</x:v>
      </x:c>
      <x:c r="G165" s="3" t="s">
        <x:v>1309</x:v>
      </x:c>
      <x:c r="H165" s="3" t="s">
        <x:v>1310</x:v>
      </x:c>
      <x:c r="I165" s="3" t="s">
        <x:v>1311</x:v>
      </x:c>
      <x:c r="J165" s="3" t="s">
        <x:v>871</x:v>
      </x:c>
      <x:c r="K165" s="3" t="s">
        <x:v>75</x:v>
      </x:c>
      <x:c r="L165" s="3" t="s">
        <x:v>1312</x:v>
      </x:c>
      <x:c r="M165" s="8" t="str">
        <x:v>Agent Reviewer 1</x:v>
      </x:c>
      <x:c r="N165" s="8" t="str">
        <x:v>Exclude</x:v>
      </x:c>
      <x:c r="O165" s="8" t="str">
        <x:v>Wrong study design</x:v>
      </x:c>
      <x:c r="P165" s="8" t="str">
        <x:v>High</x:v>
      </x:c>
      <x:c r="Q165" s="8" t="str">
        <x:v>Case report or case series; not an eligible comparative/cohort study.</x:v>
      </x:c>
      <x:c r="R165" s="8" t="str">
        <x:v>2026-08-02 12:36 KST</x:v>
      </x:c>
    </x:row>
    <x:row r="166" ht="70" customHeight="1">
      <x:c r="A166" s="3" t="s">
        <x:v>1313</x:v>
      </x:c>
      <x:c r="B166" s="3" t="s">
        <x:v>651</x:v>
      </x:c>
      <x:c r="C166" s="3" t="s">
        <x:v>1314</x:v>
      </x:c>
      <x:c r="D166" s="3"/>
      <x:c r="E166" s="3" t="s">
        <x:v>1315</x:v>
      </x:c>
      <x:c r="F166" s="3" t="s">
        <x:v>81</x:v>
      </x:c>
      <x:c r="G166" s="3" t="s">
        <x:v>827</x:v>
      </x:c>
      <x:c r="H166" s="3" t="s">
        <x:v>1316</x:v>
      </x:c>
      <x:c r="I166" s="3" t="s">
        <x:v>1317</x:v>
      </x:c>
      <x:c r="J166" s="3" t="s">
        <x:v>871</x:v>
      </x:c>
      <x:c r="K166" s="3" t="s">
        <x:v>75</x:v>
      </x:c>
      <x:c r="L166" s="3" t="s">
        <x:v>1318</x:v>
      </x:c>
      <x:c r="M166" s="8" t="str">
        <x:v>Agent Reviewer 1</x:v>
      </x:c>
      <x:c r="N166" s="8" t="str">
        <x:v>Exclude</x:v>
      </x:c>
      <x:c r="O166" s="8" t="str">
        <x:v>Wrong study design</x:v>
      </x:c>
      <x:c r="P166" s="8" t="str">
        <x:v>High</x:v>
      </x:c>
      <x:c r="Q166" s="8" t="str">
        <x:v>Case report or case series; not an eligible comparative/cohort study.</x:v>
      </x:c>
      <x:c r="R166" s="8" t="str">
        <x:v>2026-08-02 12:36 KST</x:v>
      </x:c>
    </x:row>
    <x:row r="167" ht="70" customHeight="1">
      <x:c r="A167" s="3" t="s">
        <x:v>1319</x:v>
      </x:c>
      <x:c r="B167" s="3" t="s">
        <x:v>651</x:v>
      </x:c>
      <x:c r="C167" s="3" t="s">
        <x:v>1320</x:v>
      </x:c>
      <x:c r="D167" s="3" t="s">
        <x:v>1321</x:v>
      </x:c>
      <x:c r="E167" s="3" t="s">
        <x:v>1322</x:v>
      </x:c>
      <x:c r="F167" s="3" t="s">
        <x:v>288</x:v>
      </x:c>
      <x:c r="G167" s="3" t="s">
        <x:v>1010</x:v>
      </x:c>
      <x:c r="H167" s="3" t="s">
        <x:v>1323</x:v>
      </x:c>
      <x:c r="I167" s="3" t="s">
        <x:v>1324</x:v>
      </x:c>
      <x:c r="J167" s="3" t="s">
        <x:v>658</x:v>
      </x:c>
      <x:c r="K167" s="3" t="s">
        <x:v>75</x:v>
      </x:c>
      <x:c r="L167" s="3" t="s">
        <x:v>1325</x:v>
      </x:c>
      <x:c r="M167" s="8" t="str">
        <x:v>Agent Reviewer 1</x:v>
      </x:c>
      <x:c r="N167" s="8" t="str">
        <x:v>Exclude</x:v>
      </x:c>
      <x:c r="O167" s="8" t="str">
        <x:v>Animal or laboratory study</x:v>
      </x:c>
      <x:c r="P167" s="8" t="str">
        <x:v>High</x:v>
      </x:c>
      <x:c r="Q167" s="8" t="str">
        <x:v>Animal, ex vivo, or mechanistic laboratory study without eligible clinical surgical outcomes.</x:v>
      </x:c>
      <x:c r="R167" s="8" t="str">
        <x:v>2026-08-02 12:36 KST</x:v>
      </x:c>
    </x:row>
    <x:row r="168" ht="70" customHeight="1">
      <x:c r="A168" s="3" t="s">
        <x:v>1326</x:v>
      </x:c>
      <x:c r="B168" s="3" t="s">
        <x:v>651</x:v>
      </x:c>
      <x:c r="C168" s="3" t="s">
        <x:v>1327</x:v>
      </x:c>
      <x:c r="D168" s="3" t="s">
        <x:v>1328</x:v>
      </x:c>
      <x:c r="E168" s="3" t="s">
        <x:v>1329</x:v>
      </x:c>
      <x:c r="F168" s="3" t="s">
        <x:v>288</x:v>
      </x:c>
      <x:c r="G168" s="3" t="s">
        <x:v>714</x:v>
      </x:c>
      <x:c r="H168" s="3" t="s">
        <x:v>1330</x:v>
      </x:c>
      <x:c r="I168" s="3" t="s">
        <x:v>1331</x:v>
      </x:c>
      <x:c r="J168" s="3" t="s">
        <x:v>814</x:v>
      </x:c>
      <x:c r="K168" s="3" t="s">
        <x:v>75</x:v>
      </x:c>
      <x:c r="L168" s="3" t="s">
        <x:v>1332</x:v>
      </x:c>
      <x:c r="M168" s="8" t="str">
        <x:v>Agent Reviewer 1</x:v>
      </x:c>
      <x:c r="N168" s="8" t="str">
        <x:v>Exclude</x:v>
      </x:c>
      <x:c r="O168" s="8" t="str">
        <x:v>Animal or laboratory study</x:v>
      </x:c>
      <x:c r="P168" s="8" t="str">
        <x:v>High</x:v>
      </x:c>
      <x:c r="Q168" s="8" t="str">
        <x:v>Animal, ex vivo, or mechanistic laboratory study without eligible clinical surgical outcomes.</x:v>
      </x:c>
      <x:c r="R168" s="8" t="str">
        <x:v>2026-08-02 12:36 KST</x:v>
      </x:c>
    </x:row>
    <x:row r="169" ht="70" customHeight="1">
      <x:c r="A169" s="3" t="s">
        <x:v>1333</x:v>
      </x:c>
      <x:c r="B169" s="3" t="s">
        <x:v>651</x:v>
      </x:c>
      <x:c r="C169" s="3" t="s">
        <x:v>1334</x:v>
      </x:c>
      <x:c r="D169" s="3" t="s">
        <x:v>1335</x:v>
      </x:c>
      <x:c r="E169" s="3" t="s">
        <x:v>1336</x:v>
      </x:c>
      <x:c r="F169" s="3" t="s">
        <x:v>81</x:v>
      </x:c>
      <x:c r="G169" s="3" t="s">
        <x:v>1254</x:v>
      </x:c>
      <x:c r="H169" s="3" t="s">
        <x:v>1337</x:v>
      </x:c>
      <x:c r="I169" s="3" t="s">
        <x:v>1338</x:v>
      </x:c>
      <x:c r="J169" s="3" t="s">
        <x:v>814</x:v>
      </x:c>
      <x:c r="K169" s="3" t="s">
        <x:v>75</x:v>
      </x:c>
      <x:c r="L169" s="3" t="s">
        <x:v>1339</x:v>
      </x:c>
      <x:c r="M169" s="8" t="str">
        <x:v>Agent Reviewer 1</x:v>
      </x:c>
      <x:c r="N169" s="8" t="str">
        <x:v>Exclude</x:v>
      </x:c>
      <x:c r="O169" s="8" t="str">
        <x:v>No relevant clinical outcome</x:v>
      </x:c>
      <x:c r="P169" s="8" t="str">
        <x:v>High</x:v>
      </x:c>
      <x:c r="Q169" s="8" t="str">
        <x:v>Focuses on prescribing/medication uptake rather than relevant clinical outcomes of SGLT2 exposure.</x:v>
      </x:c>
      <x:c r="R169" s="8" t="str">
        <x:v>2026-08-02 12:36 KST</x:v>
      </x:c>
    </x:row>
    <x:row r="170" ht="70" customHeight="1">
      <x:c r="A170" s="3" t="s">
        <x:v>1340</x:v>
      </x:c>
      <x:c r="B170" s="3" t="s">
        <x:v>651</x:v>
      </x:c>
      <x:c r="C170" s="3" t="s">
        <x:v>1341</x:v>
      </x:c>
      <x:c r="D170" s="3" t="s">
        <x:v>1342</x:v>
      </x:c>
      <x:c r="E170" s="3" t="s">
        <x:v>1343</x:v>
      </x:c>
      <x:c r="F170" s="3" t="s">
        <x:v>288</x:v>
      </x:c>
      <x:c r="G170" s="3" t="s">
        <x:v>1344</x:v>
      </x:c>
      <x:c r="H170" s="3" t="s">
        <x:v>1345</x:v>
      </x:c>
      <x:c r="I170" s="3" t="s">
        <x:v>1346</x:v>
      </x:c>
      <x:c r="J170" s="3" t="s">
        <x:v>871</x:v>
      </x:c>
      <x:c r="K170" s="3" t="s">
        <x:v>75</x:v>
      </x:c>
      <x:c r="L170" s="3" t="s">
        <x:v>1347</x:v>
      </x:c>
      <x:c r="M170" s="8" t="str">
        <x:v>Agent Reviewer 1</x:v>
      </x:c>
      <x:c r="N170" s="8" t="str">
        <x:v>Exclude</x:v>
      </x:c>
      <x:c r="O170" s="8" t="str">
        <x:v>Wrong study design</x:v>
      </x:c>
      <x:c r="P170" s="8" t="str">
        <x:v>High</x:v>
      </x:c>
      <x:c r="Q170" s="8" t="str">
        <x:v>Case report or case series; not an eligible comparative/cohort study.</x:v>
      </x:c>
      <x:c r="R170" s="8" t="str">
        <x:v>2026-08-02 12:36 KST</x:v>
      </x:c>
    </x:row>
    <x:row r="171" ht="70" customHeight="1">
      <x:c r="A171" s="3" t="s">
        <x:v>1348</x:v>
      </x:c>
      <x:c r="B171" s="3" t="s">
        <x:v>651</x:v>
      </x:c>
      <x:c r="C171" s="3" t="s">
        <x:v>1349</x:v>
      </x:c>
      <x:c r="D171" s="3"/>
      <x:c r="E171" s="3" t="s">
        <x:v>1350</x:v>
      </x:c>
      <x:c r="F171" s="3" t="s">
        <x:v>288</x:v>
      </x:c>
      <x:c r="G171" s="3" t="s">
        <x:v>1351</x:v>
      </x:c>
      <x:c r="H171" s="3" t="s">
        <x:v>1352</x:v>
      </x:c>
      <x:c r="I171" s="3" t="s">
        <x:v>1353</x:v>
      </x:c>
      <x:c r="J171" s="3" t="s">
        <x:v>871</x:v>
      </x:c>
      <x:c r="K171" s="3" t="s">
        <x:v>75</x:v>
      </x:c>
      <x:c r="L171" s="3" t="s">
        <x:v>1354</x:v>
      </x:c>
      <x:c r="M171" s="8" t="str">
        <x:v>Agent Reviewer 1</x:v>
      </x:c>
      <x:c r="N171" s="8" t="str">
        <x:v>Exclude</x:v>
      </x:c>
      <x:c r="O171" s="8" t="str">
        <x:v>Wrong study design</x:v>
      </x:c>
      <x:c r="P171" s="8" t="str">
        <x:v>High</x:v>
      </x:c>
      <x:c r="Q171" s="8" t="str">
        <x:v>Case report or case series; not an eligible comparative/cohort study.</x:v>
      </x:c>
      <x:c r="R171" s="8" t="str">
        <x:v>2026-08-02 12:36 KST</x:v>
      </x:c>
    </x:row>
    <x:row r="172" ht="70" customHeight="1">
      <x:c r="A172" s="3" t="s">
        <x:v>1355</x:v>
      </x:c>
      <x:c r="B172" s="3" t="s">
        <x:v>651</x:v>
      </x:c>
      <x:c r="C172" s="3" t="s">
        <x:v>1356</x:v>
      </x:c>
      <x:c r="D172" s="3" t="s">
        <x:v>1357</x:v>
      </x:c>
      <x:c r="E172" s="3" t="s">
        <x:v>1358</x:v>
      </x:c>
      <x:c r="F172" s="3" t="s">
        <x:v>288</x:v>
      </x:c>
      <x:c r="G172" s="3" t="s">
        <x:v>1359</x:v>
      </x:c>
      <x:c r="H172" s="3" t="s">
        <x:v>1360</x:v>
      </x:c>
      <x:c r="I172" s="3" t="s">
        <x:v>1361</x:v>
      </x:c>
      <x:c r="J172" s="3" t="s">
        <x:v>871</x:v>
      </x:c>
      <x:c r="K172" s="3" t="s">
        <x:v>75</x:v>
      </x:c>
      <x:c r="L172" s="3" t="s">
        <x:v>1362</x:v>
      </x:c>
      <x:c r="M172" s="8" t="str">
        <x:v>Agent Reviewer 1</x:v>
      </x:c>
      <x:c r="N172" s="8" t="str">
        <x:v>Exclude</x:v>
      </x:c>
      <x:c r="O172" s="8" t="str">
        <x:v>Wrong study design</x:v>
      </x:c>
      <x:c r="P172" s="8" t="str">
        <x:v>High</x:v>
      </x:c>
      <x:c r="Q172" s="8" t="str">
        <x:v>Case report or case series; not an eligible comparative/cohort study.</x:v>
      </x:c>
      <x:c r="R172" s="8" t="str">
        <x:v>2026-08-02 12:36 KST</x:v>
      </x:c>
    </x:row>
    <x:row r="173" ht="70" customHeight="1">
      <x:c r="A173" s="3" t="s">
        <x:v>1363</x:v>
      </x:c>
      <x:c r="B173" s="3" t="s">
        <x:v>651</x:v>
      </x:c>
      <x:c r="C173" s="3" t="s">
        <x:v>1364</x:v>
      </x:c>
      <x:c r="D173" s="3" t="s">
        <x:v>1365</x:v>
      </x:c>
      <x:c r="E173" s="3" t="s">
        <x:v>1366</x:v>
      </x:c>
      <x:c r="F173" s="3" t="s">
        <x:v>288</x:v>
      </x:c>
      <x:c r="G173" s="3" t="s">
        <x:v>1367</x:v>
      </x:c>
      <x:c r="H173" s="3" t="s">
        <x:v>1368</x:v>
      </x:c>
      <x:c r="I173" s="3" t="s">
        <x:v>1369</x:v>
      </x:c>
      <x:c r="J173" s="3" t="s">
        <x:v>1187</x:v>
      </x:c>
      <x:c r="K173" s="3" t="s">
        <x:v>75</x:v>
      </x:c>
      <x:c r="L173" s="3" t="s">
        <x:v>1370</x:v>
      </x:c>
      <x:c r="M173" s="8" t="str">
        <x:v>Agent Reviewer 1</x:v>
      </x:c>
      <x:c r="N173" s="8" t="str">
        <x:v>Unclear</x:v>
      </x:c>
      <x:c r="O173" s="8" t="str"/>
      <x:c r="P173" s="8" t="str">
        <x:v>Moderate</x:v>
      </x:c>
      <x:c r="Q173" s="8" t="str">
        <x:v>Potential relevance, but timing, surgical-population definition, or primary-study eligibility requires human full-text review.</x:v>
      </x:c>
      <x:c r="R173" s="8" t="str">
        <x:v>2026-08-02 12:36 KST</x:v>
      </x:c>
    </x:row>
    <x:row r="174" ht="70" customHeight="1">
      <x:c r="A174" s="3" t="s">
        <x:v>1371</x:v>
      </x:c>
      <x:c r="B174" s="3" t="s">
        <x:v>651</x:v>
      </x:c>
      <x:c r="C174" s="3" t="s">
        <x:v>1372</x:v>
      </x:c>
      <x:c r="D174" s="3" t="s">
        <x:v>1373</x:v>
      </x:c>
      <x:c r="E174" s="3" t="s">
        <x:v>1374</x:v>
      </x:c>
      <x:c r="F174" s="3" t="s">
        <x:v>288</x:v>
      </x:c>
      <x:c r="G174" s="3" t="s">
        <x:v>1375</x:v>
      </x:c>
      <x:c r="H174" s="3" t="s">
        <x:v>1376</x:v>
      </x:c>
      <x:c r="I174" s="3" t="s">
        <x:v>1377</x:v>
      </x:c>
      <x:c r="J174" s="3" t="s">
        <x:v>871</x:v>
      </x:c>
      <x:c r="K174" s="3" t="s">
        <x:v>75</x:v>
      </x:c>
      <x:c r="L174" s="3" t="s">
        <x:v>1378</x:v>
      </x:c>
      <x:c r="M174" s="8" t="str">
        <x:v>Agent Reviewer 1</x:v>
      </x:c>
      <x:c r="N174" s="8" t="str">
        <x:v>Exclude</x:v>
      </x:c>
      <x:c r="O174" s="8" t="str">
        <x:v>Wrong study design</x:v>
      </x:c>
      <x:c r="P174" s="8" t="str">
        <x:v>High</x:v>
      </x:c>
      <x:c r="Q174" s="8" t="str">
        <x:v>Case report or case series; not an eligible comparative/cohort study.</x:v>
      </x:c>
      <x:c r="R174" s="8" t="str">
        <x:v>2026-08-02 12:36 KST</x:v>
      </x:c>
    </x:row>
    <x:row r="175" ht="70" customHeight="1">
      <x:c r="A175" s="3" t="s">
        <x:v>1379</x:v>
      </x:c>
      <x:c r="B175" s="3" t="s">
        <x:v>651</x:v>
      </x:c>
      <x:c r="C175" s="3" t="s">
        <x:v>1380</x:v>
      </x:c>
      <x:c r="D175" s="3"/>
      <x:c r="E175" s="3" t="s">
        <x:v>1381</x:v>
      </x:c>
      <x:c r="F175" s="3" t="s">
        <x:v>288</x:v>
      </x:c>
      <x:c r="G175" s="3" t="s">
        <x:v>256</x:v>
      </x:c>
      <x:c r="H175" s="3" t="s">
        <x:v>1382</x:v>
      </x:c>
      <x:c r="I175" s="3" t="s">
        <x:v>1383</x:v>
      </x:c>
      <x:c r="J175" s="3" t="s">
        <x:v>1093</x:v>
      </x:c>
      <x:c r="K175" s="3" t="s">
        <x:v>75</x:v>
      </x:c>
      <x:c r="L175" s="3" t="s">
        <x:v>1384</x:v>
      </x:c>
      <x:c r="M175" s="8" t="str">
        <x:v>Agent Reviewer 1</x:v>
      </x:c>
      <x:c r="N175" s="8" t="str">
        <x:v>Exclude</x:v>
      </x:c>
      <x:c r="O175" s="8" t="str">
        <x:v>Protocol, editorial, commentary, or review</x:v>
      </x:c>
      <x:c r="P175" s="8" t="str">
        <x:v>High</x:v>
      </x:c>
      <x:c r="Q175" s="8" t="str">
        <x:v>Protocol, registry, editorial, commentary, or letter without eligible completed primary outcomes.</x:v>
      </x:c>
      <x:c r="R175" s="8" t="str">
        <x:v>2026-08-02 12:36 KST</x:v>
      </x:c>
    </x:row>
    <x:row r="176" ht="70" customHeight="1">
      <x:c r="A176" s="3" t="s">
        <x:v>1385</x:v>
      </x:c>
      <x:c r="B176" s="3" t="s">
        <x:v>651</x:v>
      </x:c>
      <x:c r="C176" s="3" t="s">
        <x:v>1386</x:v>
      </x:c>
      <x:c r="D176" s="3"/>
      <x:c r="E176" s="3" t="s">
        <x:v>1387</x:v>
      </x:c>
      <x:c r="F176" s="3" t="s">
        <x:v>288</x:v>
      </x:c>
      <x:c r="G176" s="3" t="s">
        <x:v>1388</x:v>
      </x:c>
      <x:c r="H176" s="3" t="s">
        <x:v>1389</x:v>
      </x:c>
      <x:c r="I176" s="3" t="s">
        <x:v>1390</x:v>
      </x:c>
      <x:c r="J176" s="3" t="s">
        <x:v>1391</x:v>
      </x:c>
      <x:c r="K176" s="3" t="s">
        <x:v>75</x:v>
      </x:c>
      <x:c r="L176" s="3" t="s">
        <x:v>1392</x:v>
      </x:c>
      <x:c r="M176" s="8" t="str">
        <x:v>Agent Reviewer 1</x:v>
      </x:c>
      <x:c r="N176" s="8" t="str">
        <x:v>Exclude</x:v>
      </x:c>
      <x:c r="O176" s="8" t="str">
        <x:v>Conference abstract with insufficient information</x:v>
      </x:c>
      <x:c r="P176" s="8" t="str">
        <x:v>High</x:v>
      </x:c>
      <x:c r="Q176" s="8" t="str">
        <x:v>Conference-only report; insufficient full-study information for primary inclusion.</x:v>
      </x:c>
      <x:c r="R176" s="8" t="str">
        <x:v>2026-08-02 12:36 KST</x:v>
      </x:c>
    </x:row>
    <x:row r="177" ht="70" customHeight="1">
      <x:c r="A177" s="3" t="s">
        <x:v>1393</x:v>
      </x:c>
      <x:c r="B177" s="3" t="s">
        <x:v>651</x:v>
      </x:c>
      <x:c r="C177" s="3" t="s">
        <x:v>1394</x:v>
      </x:c>
      <x:c r="D177" s="3"/>
      <x:c r="E177" s="3" t="s">
        <x:v>1395</x:v>
      </x:c>
      <x:c r="F177" s="3" t="s">
        <x:v>297</x:v>
      </x:c>
      <x:c r="G177" s="3" t="s">
        <x:v>1367</x:v>
      </x:c>
      <x:c r="H177" s="3" t="s">
        <x:v>1396</x:v>
      </x:c>
      <x:c r="I177" s="3" t="s">
        <x:v>1397</x:v>
      </x:c>
      <x:c r="J177" s="3" t="s">
        <x:v>814</x:v>
      </x:c>
      <x:c r="K177" s="3" t="s">
        <x:v>75</x:v>
      </x:c>
      <x:c r="L177" s="3" t="s">
        <x:v>1398</x:v>
      </x:c>
      <x:c r="M177" s="8" t="str">
        <x:v>Agent Reviewer 1</x:v>
      </x:c>
      <x:c r="N177" s="8" t="str">
        <x:v>Exclude</x:v>
      </x:c>
      <x:c r="O177" s="8" t="str">
        <x:v>Animal or laboratory study</x:v>
      </x:c>
      <x:c r="P177" s="8" t="str">
        <x:v>High</x:v>
      </x:c>
      <x:c r="Q177" s="8" t="str">
        <x:v>Animal, ex vivo, or mechanistic laboratory study without eligible clinical surgical outcomes.</x:v>
      </x:c>
      <x:c r="R177" s="8" t="str">
        <x:v>2026-08-02 12:36 KST</x:v>
      </x:c>
    </x:row>
    <x:row r="178" ht="70" customHeight="1">
      <x:c r="A178" s="3" t="s">
        <x:v>1399</x:v>
      </x:c>
      <x:c r="B178" s="3" t="s">
        <x:v>651</x:v>
      </x:c>
      <x:c r="C178" s="3" t="s">
        <x:v>1400</x:v>
      </x:c>
      <x:c r="D178" s="3" t="s">
        <x:v>1401</x:v>
      </x:c>
      <x:c r="E178" s="3" t="s">
        <x:v>1402</x:v>
      </x:c>
      <x:c r="F178" s="3" t="s">
        <x:v>297</x:v>
      </x:c>
      <x:c r="G178" s="3" t="s">
        <x:v>1403</x:v>
      </x:c>
      <x:c r="H178" s="3" t="s">
        <x:v>1404</x:v>
      </x:c>
      <x:c r="I178" s="3" t="s">
        <x:v>1405</x:v>
      </x:c>
      <x:c r="J178" s="3" t="s">
        <x:v>658</x:v>
      </x:c>
      <x:c r="K178" s="3" t="s">
        <x:v>75</x:v>
      </x:c>
      <x:c r="L178" s="3" t="s">
        <x:v>1406</x:v>
      </x:c>
      <x:c r="M178" s="8" t="str">
        <x:v>Agent Reviewer 1</x:v>
      </x:c>
      <x:c r="N178" s="8" t="str">
        <x:v>Exclude</x:v>
      </x:c>
      <x:c r="O178" s="8" t="str">
        <x:v>No relevant clinical outcome</x:v>
      </x:c>
      <x:c r="P178" s="8" t="str">
        <x:v>Moderate</x:v>
      </x:c>
      <x:c r="Q178" s="8" t="str">
        <x:v>Cardiac-surgery context is present, but the study does not evaluate eligible clinical effects of SGLT2 inhibitor exposure.</x:v>
      </x:c>
      <x:c r="R178" s="8" t="str">
        <x:v>2026-08-02 12:36 KST</x:v>
      </x:c>
    </x:row>
    <x:row r="179" ht="70" customHeight="1">
      <x:c r="A179" s="3" t="s">
        <x:v>1407</x:v>
      </x:c>
      <x:c r="B179" s="3" t="s">
        <x:v>651</x:v>
      </x:c>
      <x:c r="C179" s="3" t="s">
        <x:v>1408</x:v>
      </x:c>
      <x:c r="D179" s="3" t="s">
        <x:v>1409</x:v>
      </x:c>
      <x:c r="E179" s="3" t="s">
        <x:v>1410</x:v>
      </x:c>
      <x:c r="F179" s="3" t="s">
        <x:v>297</x:v>
      </x:c>
      <x:c r="G179" s="3" t="s">
        <x:v>1411</x:v>
      </x:c>
      <x:c r="H179" s="3" t="s">
        <x:v>1412</x:v>
      </x:c>
      <x:c r="I179" s="3" t="s">
        <x:v>1413</x:v>
      </x:c>
      <x:c r="J179" s="3" t="s">
        <x:v>814</x:v>
      </x:c>
      <x:c r="K179" s="3" t="s">
        <x:v>75</x:v>
      </x:c>
      <x:c r="L179" s="3" t="s">
        <x:v>1414</x:v>
      </x:c>
      <x:c r="M179" s="8" t="str">
        <x:v>Agent Reviewer 1</x:v>
      </x:c>
      <x:c r="N179" s="8" t="str">
        <x:v>Exclude</x:v>
      </x:c>
      <x:c r="O179" s="8" t="str">
        <x:v>Animal or laboratory study</x:v>
      </x:c>
      <x:c r="P179" s="8" t="str">
        <x:v>High</x:v>
      </x:c>
      <x:c r="Q179" s="8" t="str">
        <x:v>Animal, ex vivo, or mechanistic laboratory study without eligible clinical surgical outcomes.</x:v>
      </x:c>
      <x:c r="R179" s="8" t="str">
        <x:v>2026-08-02 12:36 KST</x:v>
      </x:c>
    </x:row>
    <x:row r="180" ht="70" customHeight="1">
      <x:c r="A180" s="3" t="s">
        <x:v>1415</x:v>
      </x:c>
      <x:c r="B180" s="3" t="s">
        <x:v>651</x:v>
      </x:c>
      <x:c r="C180" s="3" t="s">
        <x:v>1416</x:v>
      </x:c>
      <x:c r="D180" s="3" t="s">
        <x:v>1417</x:v>
      </x:c>
      <x:c r="E180" s="3" t="s">
        <x:v>1418</x:v>
      </x:c>
      <x:c r="F180" s="3" t="s">
        <x:v>297</x:v>
      </x:c>
      <x:c r="G180" s="3" t="s">
        <x:v>1419</x:v>
      </x:c>
      <x:c r="H180" s="3" t="s">
        <x:v>1420</x:v>
      </x:c>
      <x:c r="I180" s="3" t="s">
        <x:v>1421</x:v>
      </x:c>
      <x:c r="J180" s="3" t="s">
        <x:v>658</x:v>
      </x:c>
      <x:c r="K180" s="3" t="s">
        <x:v>75</x:v>
      </x:c>
      <x:c r="L180" s="3" t="s">
        <x:v>1422</x:v>
      </x:c>
      <x:c r="M180" s="8" t="str">
        <x:v>Agent Reviewer 1</x:v>
      </x:c>
      <x:c r="N180" s="8" t="str">
        <x:v>Exclude</x:v>
      </x:c>
      <x:c r="O180" s="8" t="str">
        <x:v>Animal or laboratory study</x:v>
      </x:c>
      <x:c r="P180" s="8" t="str">
        <x:v>High</x:v>
      </x:c>
      <x:c r="Q180" s="8" t="str">
        <x:v>Animal, ex vivo, or mechanistic laboratory study without eligible clinical surgical outcomes.</x:v>
      </x:c>
      <x:c r="R180" s="8" t="str">
        <x:v>2026-08-02 12:36 KST</x:v>
      </x:c>
    </x:row>
    <x:row r="181" ht="70" customHeight="1">
      <x:c r="A181" s="3" t="s">
        <x:v>1423</x:v>
      </x:c>
      <x:c r="B181" s="3" t="s">
        <x:v>651</x:v>
      </x:c>
      <x:c r="C181" s="3" t="s">
        <x:v>1424</x:v>
      </x:c>
      <x:c r="D181" s="3" t="s">
        <x:v>1425</x:v>
      </x:c>
      <x:c r="E181" s="3" t="s">
        <x:v>1426</x:v>
      </x:c>
      <x:c r="F181" s="3" t="s">
        <x:v>1427</x:v>
      </x:c>
      <x:c r="G181" s="3" t="s">
        <x:v>1428</x:v>
      </x:c>
      <x:c r="H181" s="3" t="s">
        <x:v>1429</x:v>
      </x:c>
      <x:c r="I181" s="3" t="s">
        <x:v>1430</x:v>
      </x:c>
      <x:c r="J181" s="3" t="s">
        <x:v>814</x:v>
      </x:c>
      <x:c r="K181" s="3" t="s">
        <x:v>75</x:v>
      </x:c>
      <x:c r="L181" s="3" t="s">
        <x:v>1431</x:v>
      </x:c>
      <x:c r="M181" s="8" t="str">
        <x:v>Agent Reviewer 1</x:v>
      </x:c>
      <x:c r="N181" s="8" t="str">
        <x:v>Exclude</x:v>
      </x:c>
      <x:c r="O181" s="8" t="str">
        <x:v>No SGLT2 inhibitor exposure</x:v>
      </x:c>
      <x:c r="P181" s="8" t="str">
        <x:v>High</x:v>
      </x:c>
      <x:c r="Q181" s="8" t="str">
        <x:v>No SGLT2 inhibitor exposure or intervention identified.</x:v>
      </x:c>
      <x:c r="R181" s="8" t="str">
        <x:v>2026-08-02 12:36 KST</x:v>
      </x:c>
    </x:row>
    <x:row r="182" ht="70" customHeight="1">
      <x:c r="A182" s="3" t="s">
        <x:v>1432</x:v>
      </x:c>
      <x:c r="B182" s="3" t="s">
        <x:v>651</x:v>
      </x:c>
      <x:c r="C182" s="3" t="s">
        <x:v>1433</x:v>
      </x:c>
      <x:c r="D182" s="3" t="s">
        <x:v>1434</x:v>
      </x:c>
      <x:c r="E182" s="3" t="s">
        <x:v>1435</x:v>
      </x:c>
      <x:c r="F182" s="3" t="s">
        <x:v>1427</x:v>
      </x:c>
      <x:c r="G182" s="3" t="s">
        <x:v>1436</x:v>
      </x:c>
      <x:c r="H182" s="3"/>
      <x:c r="I182" s="3" t="s">
        <x:v>1437</x:v>
      </x:c>
      <x:c r="J182" s="3" t="s">
        <x:v>871</x:v>
      </x:c>
      <x:c r="K182" s="3" t="s">
        <x:v>1054</x:v>
      </x:c>
      <x:c r="L182" s="3" t="s">
        <x:v>1438</x:v>
      </x:c>
      <x:c r="M182" s="8" t="str">
        <x:v>Agent Reviewer 1</x:v>
      </x:c>
      <x:c r="N182" s="8" t="str">
        <x:v>Exclude</x:v>
      </x:c>
      <x:c r="O182" s="8" t="str">
        <x:v>Wrong study design</x:v>
      </x:c>
      <x:c r="P182" s="8" t="str">
        <x:v>High</x:v>
      </x:c>
      <x:c r="Q182" s="8" t="str">
        <x:v>Case report or case series; not an eligible comparative/cohort study.</x:v>
      </x:c>
      <x:c r="R182" s="8" t="str">
        <x:v>2026-08-02 12:36 KST</x:v>
      </x:c>
    </x:row>
    <x:row r="183" ht="70" customHeight="1">
      <x:c r="A183" s="3" t="s">
        <x:v>1439</x:v>
      </x:c>
      <x:c r="B183" s="3" t="s">
        <x:v>651</x:v>
      </x:c>
      <x:c r="C183" s="3" t="s">
        <x:v>1440</x:v>
      </x:c>
      <x:c r="D183" s="3" t="s">
        <x:v>1441</x:v>
      </x:c>
      <x:c r="E183" s="3" t="s">
        <x:v>1442</x:v>
      </x:c>
      <x:c r="F183" s="3" t="s">
        <x:v>1427</x:v>
      </x:c>
      <x:c r="G183" s="3" t="s">
        <x:v>1344</x:v>
      </x:c>
      <x:c r="H183" s="3" t="s">
        <x:v>1443</x:v>
      </x:c>
      <x:c r="I183" s="3" t="s">
        <x:v>1444</x:v>
      </x:c>
      <x:c r="J183" s="3" t="s">
        <x:v>658</x:v>
      </x:c>
      <x:c r="K183" s="3" t="s">
        <x:v>75</x:v>
      </x:c>
      <x:c r="L183" s="3" t="s">
        <x:v>1445</x:v>
      </x:c>
      <x:c r="M183" s="8" t="str">
        <x:v>Agent Reviewer 1</x:v>
      </x:c>
      <x:c r="N183" s="8" t="str">
        <x:v>Exclude</x:v>
      </x:c>
      <x:c r="O183" s="8" t="str">
        <x:v>No relevant clinical outcome</x:v>
      </x:c>
      <x:c r="P183" s="8" t="str">
        <x:v>Moderate</x:v>
      </x:c>
      <x:c r="Q183" s="8" t="str">
        <x:v>Cardiac-surgery context is present, but the study does not evaluate eligible clinical effects of SGLT2 inhibitor exposure.</x:v>
      </x:c>
      <x:c r="R183" s="8" t="str">
        <x:v>2026-08-02 12:36 KST</x:v>
      </x:c>
    </x:row>
    <x:row r="184" ht="70" customHeight="1">
      <x:c r="A184" s="3" t="s">
        <x:v>1446</x:v>
      </x:c>
      <x:c r="B184" s="3" t="s">
        <x:v>651</x:v>
      </x:c>
      <x:c r="C184" s="3" t="s">
        <x:v>1447</x:v>
      </x:c>
      <x:c r="D184" s="3" t="s">
        <x:v>1448</x:v>
      </x:c>
      <x:c r="E184" s="3" t="s">
        <x:v>1449</x:v>
      </x:c>
      <x:c r="F184" s="3" t="s">
        <x:v>163</x:v>
      </x:c>
      <x:c r="G184" s="3" t="s">
        <x:v>1450</x:v>
      </x:c>
      <x:c r="H184" s="3" t="s">
        <x:v>1451</x:v>
      </x:c>
      <x:c r="I184" s="3" t="s">
        <x:v>1452</x:v>
      </x:c>
      <x:c r="J184" s="3" t="s">
        <x:v>757</x:v>
      </x:c>
      <x:c r="K184" s="3" t="s">
        <x:v>75</x:v>
      </x:c>
      <x:c r="L184" s="3" t="s">
        <x:v>1453</x:v>
      </x:c>
      <x:c r="M184" s="8" t="str">
        <x:v>Agent Reviewer 1</x:v>
      </x:c>
      <x:c r="N184" s="8" t="str">
        <x:v>Exclude</x:v>
      </x:c>
      <x:c r="O184" s="8" t="str">
        <x:v>Protocol, editorial, commentary, or review</x:v>
      </x:c>
      <x:c r="P184" s="8" t="str">
        <x:v>High</x:v>
      </x:c>
      <x:c r="Q184" s="8" t="str">
        <x:v>Secondary review/meta-analysis rather than an eligible primary study.</x:v>
      </x:c>
      <x:c r="R184" s="8" t="str">
        <x:v>2026-08-02 12:36 KST</x:v>
      </x:c>
    </x:row>
    <x:row r="185" ht="70" customHeight="1">
      <x:c r="A185" s="3" t="s">
        <x:v>1454</x:v>
      </x:c>
      <x:c r="B185" s="3" t="s">
        <x:v>651</x:v>
      </x:c>
      <x:c r="C185" s="3" t="s">
        <x:v>1455</x:v>
      </x:c>
      <x:c r="D185" s="3" t="s">
        <x:v>1456</x:v>
      </x:c>
      <x:c r="E185" s="3" t="s">
        <x:v>1457</x:v>
      </x:c>
      <x:c r="F185" s="3" t="s">
        <x:v>163</x:v>
      </x:c>
      <x:c r="G185" s="3" t="s">
        <x:v>1458</x:v>
      </x:c>
      <x:c r="H185" s="3" t="s">
        <x:v>1459</x:v>
      </x:c>
      <x:c r="I185" s="3" t="s">
        <x:v>1460</x:v>
      </x:c>
      <x:c r="J185" s="3" t="s">
        <x:v>1461</x:v>
      </x:c>
      <x:c r="K185" s="3" t="s">
        <x:v>75</x:v>
      </x:c>
      <x:c r="L185" s="3" t="s">
        <x:v>1462</x:v>
      </x:c>
      <x:c r="M185" s="8" t="str">
        <x:v>Agent Reviewer 1</x:v>
      </x:c>
      <x:c r="N185" s="8" t="str">
        <x:v>Exclude</x:v>
      </x:c>
      <x:c r="O185" s="8" t="str">
        <x:v>Protocol, editorial, commentary, or review</x:v>
      </x:c>
      <x:c r="P185" s="8" t="str">
        <x:v>High</x:v>
      </x:c>
      <x:c r="Q185" s="8" t="str">
        <x:v>Secondary review/meta-analysis rather than an eligible primary study.</x:v>
      </x:c>
      <x:c r="R185" s="8" t="str">
        <x:v>2026-08-02 12:36 KST</x:v>
      </x:c>
    </x:row>
    <x:row r="186" ht="70" customHeight="1">
      <x:c r="A186" s="3" t="s">
        <x:v>1463</x:v>
      </x:c>
      <x:c r="B186" s="3" t="s">
        <x:v>651</x:v>
      </x:c>
      <x:c r="C186" s="3" t="s">
        <x:v>1464</x:v>
      </x:c>
      <x:c r="D186" s="3" t="s">
        <x:v>1465</x:v>
      </x:c>
      <x:c r="E186" s="3" t="s">
        <x:v>1466</x:v>
      </x:c>
      <x:c r="F186" s="3" t="s">
        <x:v>163</x:v>
      </x:c>
      <x:c r="G186" s="3" t="s">
        <x:v>1467</x:v>
      </x:c>
      <x:c r="H186" s="3" t="s">
        <x:v>1468</x:v>
      </x:c>
      <x:c r="I186" s="3" t="s">
        <x:v>1469</x:v>
      </x:c>
      <x:c r="J186" s="3" t="s">
        <x:v>757</x:v>
      </x:c>
      <x:c r="K186" s="3" t="s">
        <x:v>75</x:v>
      </x:c>
      <x:c r="L186" s="3" t="s">
        <x:v>1470</x:v>
      </x:c>
      <x:c r="M186" s="8" t="str">
        <x:v>Agent Reviewer 1</x:v>
      </x:c>
      <x:c r="N186" s="8" t="str">
        <x:v>Exclude</x:v>
      </x:c>
      <x:c r="O186" s="8" t="str">
        <x:v>Protocol, editorial, commentary, or review</x:v>
      </x:c>
      <x:c r="P186" s="8" t="str">
        <x:v>High</x:v>
      </x:c>
      <x:c r="Q186" s="8" t="str">
        <x:v>Secondary review/meta-analysis rather than an eligible primary study.</x:v>
      </x:c>
      <x:c r="R186" s="8" t="str">
        <x:v>2026-08-02 12:36 KST</x:v>
      </x:c>
    </x:row>
    <x:row r="187" ht="70" customHeight="1">
      <x:c r="A187" s="3" t="s">
        <x:v>1471</x:v>
      </x:c>
      <x:c r="B187" s="3" t="s">
        <x:v>651</x:v>
      </x:c>
      <x:c r="C187" s="3" t="s">
        <x:v>1472</x:v>
      </x:c>
      <x:c r="D187" s="3" t="s">
        <x:v>1473</x:v>
      </x:c>
      <x:c r="E187" s="3" t="s">
        <x:v>1474</x:v>
      </x:c>
      <x:c r="F187" s="3" t="s">
        <x:v>163</x:v>
      </x:c>
      <x:c r="G187" s="3" t="s">
        <x:v>1475</x:v>
      </x:c>
      <x:c r="H187" s="3" t="s">
        <x:v>1476</x:v>
      </x:c>
      <x:c r="I187" s="3" t="s">
        <x:v>1477</x:v>
      </x:c>
      <x:c r="J187" s="3" t="s">
        <x:v>871</x:v>
      </x:c>
      <x:c r="K187" s="3" t="s">
        <x:v>75</x:v>
      </x:c>
      <x:c r="L187" s="3" t="s">
        <x:v>1478</x:v>
      </x:c>
      <x:c r="M187" s="8" t="str">
        <x:v>Agent Reviewer 1</x:v>
      </x:c>
      <x:c r="N187" s="8" t="str">
        <x:v>Exclude</x:v>
      </x:c>
      <x:c r="O187" s="8" t="str">
        <x:v>Wrong study design</x:v>
      </x:c>
      <x:c r="P187" s="8" t="str">
        <x:v>High</x:v>
      </x:c>
      <x:c r="Q187" s="8" t="str">
        <x:v>Case report or case series; not an eligible comparative/cohort study.</x:v>
      </x:c>
      <x:c r="R187" s="8" t="str">
        <x:v>2026-08-02 12:36 KST</x:v>
      </x:c>
    </x:row>
    <x:row r="188" ht="70" customHeight="1">
      <x:c r="A188" s="3" t="s">
        <x:v>1479</x:v>
      </x:c>
      <x:c r="B188" s="3" t="s">
        <x:v>651</x:v>
      </x:c>
      <x:c r="C188" s="3" t="s">
        <x:v>1480</x:v>
      </x:c>
      <x:c r="D188" s="3" t="s">
        <x:v>1481</x:v>
      </x:c>
      <x:c r="E188" s="3" t="s">
        <x:v>1482</x:v>
      </x:c>
      <x:c r="F188" s="3" t="s">
        <x:v>163</x:v>
      </x:c>
      <x:c r="G188" s="3" t="s">
        <x:v>1138</x:v>
      </x:c>
      <x:c r="H188" s="3" t="s">
        <x:v>1483</x:v>
      </x:c>
      <x:c r="I188" s="3" t="s">
        <x:v>1484</x:v>
      </x:c>
      <x:c r="J188" s="3" t="s">
        <x:v>814</x:v>
      </x:c>
      <x:c r="K188" s="3" t="s">
        <x:v>75</x:v>
      </x:c>
      <x:c r="L188" s="3" t="s">
        <x:v>1485</x:v>
      </x:c>
      <x:c r="M188" s="8" t="str">
        <x:v>Agent Reviewer 1</x:v>
      </x:c>
      <x:c r="N188" s="8" t="str">
        <x:v>Exclude</x:v>
      </x:c>
      <x:c r="O188" s="8" t="str">
        <x:v>Animal or laboratory study</x:v>
      </x:c>
      <x:c r="P188" s="8" t="str">
        <x:v>High</x:v>
      </x:c>
      <x:c r="Q188" s="8" t="str">
        <x:v>Animal, ex vivo, or mechanistic laboratory study without eligible clinical surgical outcomes.</x:v>
      </x:c>
      <x:c r="R188" s="8" t="str">
        <x:v>2026-08-02 12:36 KST</x:v>
      </x:c>
    </x:row>
    <x:row r="189" ht="70" customHeight="1">
      <x:c r="A189" s="3" t="s">
        <x:v>1486</x:v>
      </x:c>
      <x:c r="B189" s="3" t="s">
        <x:v>651</x:v>
      </x:c>
      <x:c r="C189" s="3" t="s">
        <x:v>1487</x:v>
      </x:c>
      <x:c r="D189" s="3" t="s">
        <x:v>1488</x:v>
      </x:c>
      <x:c r="E189" s="3" t="s">
        <x:v>1489</x:v>
      </x:c>
      <x:c r="F189" s="3" t="s">
        <x:v>1490</x:v>
      </x:c>
      <x:c r="G189" s="3" t="s">
        <x:v>1491</x:v>
      </x:c>
      <x:c r="H189" s="3" t="s">
        <x:v>1492</x:v>
      </x:c>
      <x:c r="I189" s="3" t="s">
        <x:v>1493</x:v>
      </x:c>
      <x:c r="J189" s="3" t="s">
        <x:v>757</x:v>
      </x:c>
      <x:c r="K189" s="3" t="s">
        <x:v>75</x:v>
      </x:c>
      <x:c r="L189" s="3" t="s">
        <x:v>1494</x:v>
      </x:c>
      <x:c r="M189" s="8" t="str">
        <x:v>Agent Reviewer 1</x:v>
      </x:c>
      <x:c r="N189" s="8" t="str">
        <x:v>Exclude</x:v>
      </x:c>
      <x:c r="O189" s="8" t="str">
        <x:v>Protocol, editorial, commentary, or review</x:v>
      </x:c>
      <x:c r="P189" s="8" t="str">
        <x:v>High</x:v>
      </x:c>
      <x:c r="Q189" s="8" t="str">
        <x:v>Secondary review/meta-analysis rather than an eligible primary study.</x:v>
      </x:c>
      <x:c r="R189" s="8" t="str">
        <x:v>2026-08-02 12:36 KST</x:v>
      </x:c>
    </x:row>
    <x:row r="190" ht="70" customHeight="1">
      <x:c r="A190" s="3" t="s">
        <x:v>1495</x:v>
      </x:c>
      <x:c r="B190" s="3" t="s">
        <x:v>651</x:v>
      </x:c>
      <x:c r="C190" s="3" t="s">
        <x:v>1496</x:v>
      </x:c>
      <x:c r="D190" s="3"/>
      <x:c r="E190" s="3" t="s">
        <x:v>1497</x:v>
      </x:c>
      <x:c r="F190" s="3" t="s">
        <x:v>1490</x:v>
      </x:c>
      <x:c r="G190" s="3" t="s">
        <x:v>1367</x:v>
      </x:c>
      <x:c r="H190" s="3" t="s">
        <x:v>1498</x:v>
      </x:c>
      <x:c r="I190" s="3" t="s">
        <x:v>1499</x:v>
      </x:c>
      <x:c r="J190" s="3" t="s">
        <x:v>1093</x:v>
      </x:c>
      <x:c r="K190" s="3" t="s">
        <x:v>75</x:v>
      </x:c>
      <x:c r="L190" s="3" t="s">
        <x:v>1500</x:v>
      </x:c>
      <x:c r="M190" s="8" t="str">
        <x:v>Agent Reviewer 1</x:v>
      </x:c>
      <x:c r="N190" s="8" t="str">
        <x:v>Exclude</x:v>
      </x:c>
      <x:c r="O190" s="8" t="str">
        <x:v>Protocol, editorial, commentary, or review</x:v>
      </x:c>
      <x:c r="P190" s="8" t="str">
        <x:v>High</x:v>
      </x:c>
      <x:c r="Q190" s="8" t="str">
        <x:v>Protocol, registry, editorial, commentary, or letter without eligible completed primary outcomes.</x:v>
      </x:c>
      <x:c r="R190" s="8" t="str">
        <x:v>2026-08-02 12:36 KST</x:v>
      </x:c>
    </x:row>
  </x:sheetData>
  <x:mergeCells>
    <x:mergeCell ref="A1:R1"/>
    <x:mergeCell ref="A2:R2"/>
  </x:mergeCells>
  <x:conditionalFormatting sqref="O5:O190">
    <x:cfRule type="expression" dxfId="0" priority="1">
      <x:formula>AND($N5="Exclude",$O5="")</x:formula>
    </x:cfRule>
  </x:conditionalFormatting>
  <x:conditionalFormatting sqref="N5:N190">
    <x:cfRule type="expression" dxfId="1" priority="2">
      <x:formula>N5="Include"</x:formula>
    </x:cfRule>
    <x:cfRule type="expression" dxfId="2" priority="3">
      <x:formula>N5="Exclude"</x:formula>
    </x:cfRule>
    <x:cfRule type="expression" dxfId="3" priority="4">
      <x:formula>N5="Unclear"</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RowHeight="15"/>
  <x:cols>
    <x:col min="1" max="1" width="14.710000038146973" hidden="0" customWidth="1"/>
    <x:col min="2" max="2" width="20.709999084472656" hidden="0" customWidth="1"/>
    <x:col min="3" max="3" width="65.70999908447266" hidden="0" customWidth="1"/>
    <x:col min="4" max="4" width="100.70999908447266" hidden="0" customWidth="1"/>
    <x:col min="5" max="5" width="32.709999084472656" hidden="0" customWidth="1"/>
    <x:col min="6" max="6" width="16.709999084472656" hidden="0" customWidth="1"/>
    <x:col min="7" max="7" width="16.709999084472656" hidden="0" customWidth="1"/>
    <x:col min="8" max="8" width="16.709999084472656" hidden="0" customWidth="1"/>
    <x:col min="9" max="9" width="16.709999084472656" hidden="0" customWidth="1"/>
    <x:col min="10" max="10" width="16.709999084472656" hidden="0" customWidth="1"/>
    <x:col min="11" max="11" width="16.709999084472656" hidden="0" customWidth="1"/>
    <x:col min="12" max="12" width="16.709999084472656" hidden="0" customWidth="1"/>
    <x:col min="13" max="13" width="22.709999084472656" hidden="0" customWidth="1"/>
    <x:col min="14" max="14" width="22.709999084472656" hidden="0" customWidth="1"/>
    <x:col min="15" max="15" width="22.709999084472656" hidden="0" customWidth="1"/>
    <x:col min="16" max="16" width="22.709999084472656" hidden="0" customWidth="1"/>
    <x:col min="17" max="17" width="22.709999084472656" hidden="0" customWidth="1"/>
    <x:col min="18" max="18" width="22.709999084472656" hidden="0" customWidth="1"/>
  </x:cols>
  <x:sheetData>
    <x:row r="1">
      <x:c r="A1" s="1" t="s">
        <x:v>33</x:v>
      </x:c>
      <x:c r="B1" s="1"/>
      <x:c r="C1" s="1"/>
      <x:c r="D1" s="1"/>
      <x:c r="E1" s="1"/>
      <x:c r="F1" s="1"/>
      <x:c r="G1" s="1"/>
      <x:c r="H1" s="1"/>
      <x:c r="I1" s="1"/>
      <x:c r="J1" s="1"/>
      <x:c r="K1" s="1"/>
      <x:c r="L1" s="1"/>
      <x:c r="M1" s="1"/>
      <x:c r="N1" s="1"/>
      <x:c r="O1" s="1"/>
      <x:c r="P1" s="1"/>
      <x:c r="Q1" s="1"/>
      <x:c r="R1" s="1"/>
    </x:row>
    <x:row r="2">
      <x:c r="A2" s="4" t="s">
        <x:v>1501</x:v>
      </x:c>
      <x:c r="B2" s="4"/>
      <x:c r="C2" s="4"/>
      <x:c r="D2" s="4"/>
      <x:c r="E2" s="4"/>
      <x:c r="F2" s="4"/>
      <x:c r="G2" s="4"/>
      <x:c r="H2" s="4"/>
      <x:c r="I2" s="4"/>
      <x:c r="J2" s="4"/>
      <x:c r="K2" s="4"/>
      <x:c r="L2" s="4"/>
      <x:c r="M2" s="4"/>
      <x:c r="N2" s="4"/>
      <x:c r="O2" s="4"/>
      <x:c r="P2" s="4"/>
      <x:c r="Q2" s="4"/>
      <x:c r="R2" s="4"/>
    </x:row>
    <x:row r="4">
      <x:c r="A4" s="2" t="s">
        <x:v>35</x:v>
      </x:c>
      <x:c r="B4" s="2" t="s">
        <x:v>36</x:v>
      </x:c>
      <x:c r="C4" s="2" t="s">
        <x:v>37</x:v>
      </x:c>
      <x:c r="D4" s="2" t="s">
        <x:v>38</x:v>
      </x:c>
      <x:c r="E4" s="2" t="s">
        <x:v>39</x:v>
      </x:c>
      <x:c r="F4" s="2" t="s">
        <x:v>40</x:v>
      </x:c>
      <x:c r="G4" s="2" t="s">
        <x:v>41</x:v>
      </x:c>
      <x:c r="H4" s="2" t="s">
        <x:v>42</x:v>
      </x:c>
      <x:c r="I4" s="2" t="s">
        <x:v>43</x:v>
      </x:c>
      <x:c r="J4" s="2" t="s">
        <x:v>44</x:v>
      </x:c>
      <x:c r="K4" s="2" t="s">
        <x:v>45</x:v>
      </x:c>
      <x:c r="L4" s="2" t="s">
        <x:v>46</x:v>
      </x:c>
      <x:c r="M4" s="2" t="s">
        <x:v>47</x:v>
      </x:c>
      <x:c r="N4" s="2" t="s">
        <x:v>48</x:v>
      </x:c>
      <x:c r="O4" s="2" t="s">
        <x:v>49</x:v>
      </x:c>
      <x:c r="P4" s="2" t="s">
        <x:v>50</x:v>
      </x:c>
      <x:c r="Q4" s="2" t="s">
        <x:v>51</x:v>
      </x:c>
      <x:c r="R4" s="2" t="s">
        <x:v>52</x:v>
      </x:c>
    </x:row>
    <x:row r="5" ht="70" customHeight="1">
      <x:c r="A5" s="3" t="s">
        <x:v>53</x:v>
      </x:c>
      <x:c r="B5" s="3" t="s">
        <x:v>54</x:v>
      </x:c>
      <x:c r="C5" s="3" t="s">
        <x:v>55</x:v>
      </x:c>
      <x:c r="D5" s="3" t="s">
        <x:v>56</x:v>
      </x:c>
      <x:c r="E5" s="3" t="s">
        <x:v>57</x:v>
      </x:c>
      <x:c r="F5" s="3" t="s">
        <x:v>58</x:v>
      </x:c>
      <x:c r="G5" s="3" t="s">
        <x:v>59</x:v>
      </x:c>
      <x:c r="H5" s="3" t="s">
        <x:v>60</x:v>
      </x:c>
      <x:c r="I5" s="3" t="s">
        <x:v>61</x:v>
      </x:c>
      <x:c r="J5" s="3" t="s">
        <x:v>62</x:v>
      </x:c>
      <x:c r="K5" s="3" t="s">
        <x:v>63</x:v>
      </x:c>
      <x:c r="L5" s="3" t="s">
        <x:v>64</x:v>
      </x:c>
      <x:c r="M5" s="3" t="s">
        <x:v>12</x:v>
      </x:c>
      <x:c r="N5" s="3"/>
      <x:c r="O5" s="3"/>
      <x:c r="P5" s="3"/>
      <x:c r="Q5" s="3"/>
      <x:c r="R5" s="3"/>
    </x:row>
    <x:row r="6" ht="70" customHeight="1">
      <x:c r="A6" s="3" t="s">
        <x:v>65</x:v>
      </x:c>
      <x:c r="B6" s="3" t="s">
        <x:v>66</x:v>
      </x:c>
      <x:c r="C6" s="3" t="s">
        <x:v>67</x:v>
      </x:c>
      <x:c r="D6" s="3" t="s">
        <x:v>68</x:v>
      </x:c>
      <x:c r="E6" s="3" t="s">
        <x:v>69</x:v>
      </x:c>
      <x:c r="F6" s="3" t="s">
        <x:v>70</x:v>
      </x:c>
      <x:c r="G6" s="3" t="s">
        <x:v>71</x:v>
      </x:c>
      <x:c r="H6" s="3" t="s">
        <x:v>72</x:v>
      </x:c>
      <x:c r="I6" s="3" t="s">
        <x:v>73</x:v>
      </x:c>
      <x:c r="J6" s="3" t="s">
        <x:v>74</x:v>
      </x:c>
      <x:c r="K6" s="3" t="s">
        <x:v>75</x:v>
      </x:c>
      <x:c r="L6" s="3" t="s">
        <x:v>76</x:v>
      </x:c>
      <x:c r="M6" s="3" t="s">
        <x:v>12</x:v>
      </x:c>
      <x:c r="N6" s="3"/>
      <x:c r="O6" s="3"/>
      <x:c r="P6" s="3"/>
      <x:c r="Q6" s="3"/>
      <x:c r="R6" s="3"/>
    </x:row>
    <x:row r="7" ht="70" customHeight="1">
      <x:c r="A7" s="3" t="s">
        <x:v>77</x:v>
      </x:c>
      <x:c r="B7" s="3" t="s">
        <x:v>66</x:v>
      </x:c>
      <x:c r="C7" s="3" t="s">
        <x:v>78</x:v>
      </x:c>
      <x:c r="D7" s="3" t="s">
        <x:v>79</x:v>
      </x:c>
      <x:c r="E7" s="3" t="s">
        <x:v>80</x:v>
      </x:c>
      <x:c r="F7" s="3" t="s">
        <x:v>81</x:v>
      </x:c>
      <x:c r="G7" s="3" t="s">
        <x:v>82</x:v>
      </x:c>
      <x:c r="H7" s="3" t="s">
        <x:v>83</x:v>
      </x:c>
      <x:c r="I7" s="3" t="s">
        <x:v>84</x:v>
      </x:c>
      <x:c r="J7" s="3" t="s">
        <x:v>85</x:v>
      </x:c>
      <x:c r="K7" s="3" t="s">
        <x:v>86</x:v>
      </x:c>
      <x:c r="L7" s="3" t="s">
        <x:v>87</x:v>
      </x:c>
      <x:c r="M7" s="3" t="s">
        <x:v>12</x:v>
      </x:c>
      <x:c r="N7" s="3"/>
      <x:c r="O7" s="3"/>
      <x:c r="P7" s="3"/>
      <x:c r="Q7" s="3"/>
      <x:c r="R7" s="3"/>
    </x:row>
    <x:row r="8" ht="70" customHeight="1">
      <x:c r="A8" s="3" t="s">
        <x:v>88</x:v>
      </x:c>
      <x:c r="B8" s="3" t="s">
        <x:v>66</x:v>
      </x:c>
      <x:c r="C8" s="3" t="s">
        <x:v>89</x:v>
      </x:c>
      <x:c r="D8" s="3" t="s">
        <x:v>90</x:v>
      </x:c>
      <x:c r="E8" s="3" t="s">
        <x:v>91</x:v>
      </x:c>
      <x:c r="F8" s="3" t="s">
        <x:v>92</x:v>
      </x:c>
      <x:c r="G8" s="3" t="s">
        <x:v>93</x:v>
      </x:c>
      <x:c r="H8" s="3" t="s">
        <x:v>94</x:v>
      </x:c>
      <x:c r="I8" s="3" t="s">
        <x:v>95</x:v>
      </x:c>
      <x:c r="J8" s="3" t="s">
        <x:v>96</x:v>
      </x:c>
      <x:c r="K8" s="3" t="s">
        <x:v>75</x:v>
      </x:c>
      <x:c r="L8" s="3" t="s">
        <x:v>97</x:v>
      </x:c>
      <x:c r="M8" s="3" t="s">
        <x:v>12</x:v>
      </x:c>
      <x:c r="N8" s="3"/>
      <x:c r="O8" s="3"/>
      <x:c r="P8" s="3"/>
      <x:c r="Q8" s="3"/>
      <x:c r="R8" s="3"/>
    </x:row>
    <x:row r="9" ht="70" customHeight="1">
      <x:c r="A9" s="3" t="s">
        <x:v>98</x:v>
      </x:c>
      <x:c r="B9" s="3" t="s">
        <x:v>66</x:v>
      </x:c>
      <x:c r="C9" s="3" t="s">
        <x:v>99</x:v>
      </x:c>
      <x:c r="D9" s="3" t="s">
        <x:v>100</x:v>
      </x:c>
      <x:c r="E9" s="3" t="s">
        <x:v>101</x:v>
      </x:c>
      <x:c r="F9" s="3" t="s">
        <x:v>58</x:v>
      </x:c>
      <x:c r="G9" s="3" t="s">
        <x:v>102</x:v>
      </x:c>
      <x:c r="H9" s="3" t="s">
        <x:v>103</x:v>
      </x:c>
      <x:c r="I9" s="3" t="s">
        <x:v>104</x:v>
      </x:c>
      <x:c r="J9" s="3" t="s">
        <x:v>105</x:v>
      </x:c>
      <x:c r="K9" s="3" t="s">
        <x:v>75</x:v>
      </x:c>
      <x:c r="L9" s="3" t="s">
        <x:v>106</x:v>
      </x:c>
      <x:c r="M9" s="3" t="s">
        <x:v>12</x:v>
      </x:c>
      <x:c r="N9" s="3"/>
      <x:c r="O9" s="3"/>
      <x:c r="P9" s="3"/>
      <x:c r="Q9" s="3"/>
      <x:c r="R9" s="3"/>
    </x:row>
    <x:row r="10" ht="70" customHeight="1">
      <x:c r="A10" s="3" t="s">
        <x:v>107</x:v>
      </x:c>
      <x:c r="B10" s="3" t="s">
        <x:v>66</x:v>
      </x:c>
      <x:c r="C10" s="3" t="s">
        <x:v>108</x:v>
      </x:c>
      <x:c r="D10" s="3" t="s">
        <x:v>109</x:v>
      </x:c>
      <x:c r="E10" s="3" t="s">
        <x:v>110</x:v>
      </x:c>
      <x:c r="F10" s="3" t="s">
        <x:v>70</x:v>
      </x:c>
      <x:c r="G10" s="3" t="s">
        <x:v>111</x:v>
      </x:c>
      <x:c r="H10" s="3" t="s">
        <x:v>112</x:v>
      </x:c>
      <x:c r="I10" s="3" t="s">
        <x:v>113</x:v>
      </x:c>
      <x:c r="J10" s="3" t="s">
        <x:v>114</x:v>
      </x:c>
      <x:c r="K10" s="3" t="s">
        <x:v>75</x:v>
      </x:c>
      <x:c r="L10" s="3" t="s">
        <x:v>115</x:v>
      </x:c>
      <x:c r="M10" s="3" t="s">
        <x:v>12</x:v>
      </x:c>
      <x:c r="N10" s="3"/>
      <x:c r="O10" s="3"/>
      <x:c r="P10" s="3"/>
      <x:c r="Q10" s="3"/>
      <x:c r="R10" s="3"/>
    </x:row>
    <x:row r="11" ht="70" customHeight="1">
      <x:c r="A11" s="3" t="s">
        <x:v>116</x:v>
      </x:c>
      <x:c r="B11" s="3" t="s">
        <x:v>66</x:v>
      </x:c>
      <x:c r="C11" s="3" t="s">
        <x:v>117</x:v>
      </x:c>
      <x:c r="D11" s="3" t="s">
        <x:v>118</x:v>
      </x:c>
      <x:c r="E11" s="3" t="s">
        <x:v>119</x:v>
      </x:c>
      <x:c r="F11" s="3" t="s">
        <x:v>58</x:v>
      </x:c>
      <x:c r="G11" s="3" t="s">
        <x:v>102</x:v>
      </x:c>
      <x:c r="H11" s="3" t="s">
        <x:v>120</x:v>
      </x:c>
      <x:c r="I11" s="3" t="s">
        <x:v>121</x:v>
      </x:c>
      <x:c r="J11" s="3" t="s">
        <x:v>105</x:v>
      </x:c>
      <x:c r="K11" s="3" t="s">
        <x:v>75</x:v>
      </x:c>
      <x:c r="L11" s="3" t="s">
        <x:v>122</x:v>
      </x:c>
      <x:c r="M11" s="3" t="s">
        <x:v>12</x:v>
      </x:c>
      <x:c r="N11" s="3"/>
      <x:c r="O11" s="3"/>
      <x:c r="P11" s="3"/>
      <x:c r="Q11" s="3"/>
      <x:c r="R11" s="3"/>
    </x:row>
    <x:row r="12" ht="70" customHeight="1">
      <x:c r="A12" s="3" t="s">
        <x:v>123</x:v>
      </x:c>
      <x:c r="B12" s="3" t="s">
        <x:v>66</x:v>
      </x:c>
      <x:c r="C12" s="3" t="s">
        <x:v>124</x:v>
      </x:c>
      <x:c r="D12" s="3" t="s">
        <x:v>125</x:v>
      </x:c>
      <x:c r="E12" s="3" t="s">
        <x:v>126</x:v>
      </x:c>
      <x:c r="F12" s="3" t="s">
        <x:v>92</x:v>
      </x:c>
      <x:c r="G12" s="3" t="s">
        <x:v>127</x:v>
      </x:c>
      <x:c r="H12" s="3" t="s">
        <x:v>128</x:v>
      </x:c>
      <x:c r="I12" s="3" t="s">
        <x:v>129</x:v>
      </x:c>
      <x:c r="J12" s="3" t="s">
        <x:v>130</x:v>
      </x:c>
      <x:c r="K12" s="3" t="s">
        <x:v>75</x:v>
      </x:c>
      <x:c r="L12" s="3" t="s">
        <x:v>131</x:v>
      </x:c>
      <x:c r="M12" s="3" t="s">
        <x:v>12</x:v>
      </x:c>
      <x:c r="N12" s="3"/>
      <x:c r="O12" s="3"/>
      <x:c r="P12" s="3"/>
      <x:c r="Q12" s="3"/>
      <x:c r="R12" s="3"/>
    </x:row>
    <x:row r="13" ht="70" customHeight="1">
      <x:c r="A13" s="3" t="s">
        <x:v>132</x:v>
      </x:c>
      <x:c r="B13" s="3" t="s">
        <x:v>66</x:v>
      </x:c>
      <x:c r="C13" s="3" t="s">
        <x:v>133</x:v>
      </x:c>
      <x:c r="D13" s="3" t="s">
        <x:v>134</x:v>
      </x:c>
      <x:c r="E13" s="3" t="s">
        <x:v>135</x:v>
      </x:c>
      <x:c r="F13" s="3" t="s">
        <x:v>70</x:v>
      </x:c>
      <x:c r="G13" s="3" t="s">
        <x:v>136</x:v>
      </x:c>
      <x:c r="H13" s="3" t="s">
        <x:v>137</x:v>
      </x:c>
      <x:c r="I13" s="3" t="s">
        <x:v>138</x:v>
      </x:c>
      <x:c r="J13" s="3" t="s">
        <x:v>139</x:v>
      </x:c>
      <x:c r="K13" s="3" t="s">
        <x:v>75</x:v>
      </x:c>
      <x:c r="L13" s="3" t="s">
        <x:v>140</x:v>
      </x:c>
      <x:c r="M13" s="3" t="s">
        <x:v>12</x:v>
      </x:c>
      <x:c r="N13" s="3"/>
      <x:c r="O13" s="3"/>
      <x:c r="P13" s="3"/>
      <x:c r="Q13" s="3"/>
      <x:c r="R13" s="3"/>
    </x:row>
    <x:row r="14" ht="70" customHeight="1">
      <x:c r="A14" s="3" t="s">
        <x:v>141</x:v>
      </x:c>
      <x:c r="B14" s="3" t="s">
        <x:v>66</x:v>
      </x:c>
      <x:c r="C14" s="3" t="s">
        <x:v>142</x:v>
      </x:c>
      <x:c r="D14" s="3" t="s">
        <x:v>143</x:v>
      </x:c>
      <x:c r="E14" s="3" t="s">
        <x:v>144</x:v>
      </x:c>
      <x:c r="F14" s="3" t="s">
        <x:v>58</x:v>
      </x:c>
      <x:c r="G14" s="3" t="s">
        <x:v>145</x:v>
      </x:c>
      <x:c r="H14" s="3" t="s">
        <x:v>146</x:v>
      </x:c>
      <x:c r="I14" s="3" t="s">
        <x:v>147</x:v>
      </x:c>
      <x:c r="J14" s="3" t="s">
        <x:v>148</x:v>
      </x:c>
      <x:c r="K14" s="3" t="s">
        <x:v>75</x:v>
      </x:c>
      <x:c r="L14" s="3" t="s">
        <x:v>149</x:v>
      </x:c>
      <x:c r="M14" s="3" t="s">
        <x:v>12</x:v>
      </x:c>
      <x:c r="N14" s="3"/>
      <x:c r="O14" s="3"/>
      <x:c r="P14" s="3"/>
      <x:c r="Q14" s="3"/>
      <x:c r="R14" s="3"/>
    </x:row>
    <x:row r="15" ht="70" customHeight="1">
      <x:c r="A15" s="3" t="s">
        <x:v>150</x:v>
      </x:c>
      <x:c r="B15" s="3" t="s">
        <x:v>66</x:v>
      </x:c>
      <x:c r="C15" s="3" t="s">
        <x:v>151</x:v>
      </x:c>
      <x:c r="D15" s="3" t="s">
        <x:v>152</x:v>
      </x:c>
      <x:c r="E15" s="3" t="s">
        <x:v>153</x:v>
      </x:c>
      <x:c r="F15" s="3" t="s">
        <x:v>70</x:v>
      </x:c>
      <x:c r="G15" s="3" t="s">
        <x:v>154</x:v>
      </x:c>
      <x:c r="H15" s="3" t="s">
        <x:v>155</x:v>
      </x:c>
      <x:c r="I15" s="3" t="s">
        <x:v>156</x:v>
      </x:c>
      <x:c r="J15" s="3" t="s">
        <x:v>157</x:v>
      </x:c>
      <x:c r="K15" s="3" t="s">
        <x:v>75</x:v>
      </x:c>
      <x:c r="L15" s="3" t="s">
        <x:v>158</x:v>
      </x:c>
      <x:c r="M15" s="3" t="s">
        <x:v>12</x:v>
      </x:c>
      <x:c r="N15" s="3"/>
      <x:c r="O15" s="3"/>
      <x:c r="P15" s="3"/>
      <x:c r="Q15" s="3"/>
      <x:c r="R15" s="3"/>
    </x:row>
    <x:row r="16" ht="70" customHeight="1">
      <x:c r="A16" s="3" t="s">
        <x:v>159</x:v>
      </x:c>
      <x:c r="B16" s="3" t="s">
        <x:v>66</x:v>
      </x:c>
      <x:c r="C16" s="3" t="s">
        <x:v>160</x:v>
      </x:c>
      <x:c r="D16" s="3" t="s">
        <x:v>161</x:v>
      </x:c>
      <x:c r="E16" s="3" t="s">
        <x:v>162</x:v>
      </x:c>
      <x:c r="F16" s="3" t="s">
        <x:v>163</x:v>
      </x:c>
      <x:c r="G16" s="3" t="s">
        <x:v>164</x:v>
      </x:c>
      <x:c r="H16" s="3" t="s">
        <x:v>165</x:v>
      </x:c>
      <x:c r="I16" s="3" t="s">
        <x:v>166</x:v>
      </x:c>
      <x:c r="J16" s="3" t="s">
        <x:v>167</x:v>
      </x:c>
      <x:c r="K16" s="3" t="s">
        <x:v>75</x:v>
      </x:c>
      <x:c r="L16" s="3" t="s">
        <x:v>168</x:v>
      </x:c>
      <x:c r="M16" s="3" t="s">
        <x:v>12</x:v>
      </x:c>
      <x:c r="N16" s="3"/>
      <x:c r="O16" s="3"/>
      <x:c r="P16" s="3"/>
      <x:c r="Q16" s="3"/>
      <x:c r="R16" s="3"/>
    </x:row>
    <x:row r="17" ht="70" customHeight="1">
      <x:c r="A17" s="3" t="s">
        <x:v>169</x:v>
      </x:c>
      <x:c r="B17" s="3" t="s">
        <x:v>54</x:v>
      </x:c>
      <x:c r="C17" s="3" t="s">
        <x:v>170</x:v>
      </x:c>
      <x:c r="D17" s="3" t="s">
        <x:v>171</x:v>
      </x:c>
      <x:c r="E17" s="3" t="s">
        <x:v>172</x:v>
      </x:c>
      <x:c r="F17" s="3" t="s">
        <x:v>58</x:v>
      </x:c>
      <x:c r="G17" s="3" t="s">
        <x:v>173</x:v>
      </x:c>
      <x:c r="H17" s="3" t="s">
        <x:v>174</x:v>
      </x:c>
      <x:c r="I17" s="3" t="s">
        <x:v>175</x:v>
      </x:c>
      <x:c r="J17" s="3" t="s">
        <x:v>176</x:v>
      </x:c>
      <x:c r="K17" s="3" t="s">
        <x:v>63</x:v>
      </x:c>
      <x:c r="L17" s="3" t="s">
        <x:v>177</x:v>
      </x:c>
      <x:c r="M17" s="3" t="s">
        <x:v>12</x:v>
      </x:c>
      <x:c r="N17" s="3"/>
      <x:c r="O17" s="3"/>
      <x:c r="P17" s="3"/>
      <x:c r="Q17" s="3"/>
      <x:c r="R17" s="3"/>
    </x:row>
    <x:row r="18" ht="70" customHeight="1">
      <x:c r="A18" s="3" t="s">
        <x:v>178</x:v>
      </x:c>
      <x:c r="B18" s="3" t="s">
        <x:v>66</x:v>
      </x:c>
      <x:c r="C18" s="3" t="s">
        <x:v>179</x:v>
      </x:c>
      <x:c r="D18" s="3" t="s">
        <x:v>180</x:v>
      </x:c>
      <x:c r="E18" s="3" t="s">
        <x:v>181</x:v>
      </x:c>
      <x:c r="F18" s="3" t="s">
        <x:v>182</x:v>
      </x:c>
      <x:c r="G18" s="3" t="s">
        <x:v>183</x:v>
      </x:c>
      <x:c r="H18" s="3" t="s">
        <x:v>184</x:v>
      </x:c>
      <x:c r="I18" s="3" t="s">
        <x:v>185</x:v>
      </x:c>
      <x:c r="J18" s="3" t="s">
        <x:v>186</x:v>
      </x:c>
      <x:c r="K18" s="3" t="s">
        <x:v>75</x:v>
      </x:c>
      <x:c r="L18" s="3" t="s">
        <x:v>187</x:v>
      </x:c>
      <x:c r="M18" s="3" t="s">
        <x:v>12</x:v>
      </x:c>
      <x:c r="N18" s="3"/>
      <x:c r="O18" s="3"/>
      <x:c r="P18" s="3"/>
      <x:c r="Q18" s="3"/>
      <x:c r="R18" s="3"/>
    </x:row>
    <x:row r="19" ht="70" customHeight="1">
      <x:c r="A19" s="3" t="s">
        <x:v>188</x:v>
      </x:c>
      <x:c r="B19" s="3" t="s">
        <x:v>66</x:v>
      </x:c>
      <x:c r="C19" s="3" t="s">
        <x:v>189</x:v>
      </x:c>
      <x:c r="D19" s="3" t="s">
        <x:v>190</x:v>
      </x:c>
      <x:c r="E19" s="3" t="s">
        <x:v>191</x:v>
      </x:c>
      <x:c r="F19" s="3" t="s">
        <x:v>182</x:v>
      </x:c>
      <x:c r="G19" s="3" t="s">
        <x:v>192</x:v>
      </x:c>
      <x:c r="H19" s="3" t="s">
        <x:v>193</x:v>
      </x:c>
      <x:c r="I19" s="3" t="s">
        <x:v>194</x:v>
      </x:c>
      <x:c r="J19" s="3" t="s">
        <x:v>148</x:v>
      </x:c>
      <x:c r="K19" s="3" t="s">
        <x:v>75</x:v>
      </x:c>
      <x:c r="L19" s="3" t="s">
        <x:v>195</x:v>
      </x:c>
      <x:c r="M19" s="3" t="s">
        <x:v>12</x:v>
      </x:c>
      <x:c r="N19" s="3"/>
      <x:c r="O19" s="3"/>
      <x:c r="P19" s="3"/>
      <x:c r="Q19" s="3"/>
      <x:c r="R19" s="3"/>
    </x:row>
    <x:row r="20" ht="70" customHeight="1">
      <x:c r="A20" s="3" t="s">
        <x:v>196</x:v>
      </x:c>
      <x:c r="B20" s="3" t="s">
        <x:v>66</x:v>
      </x:c>
      <x:c r="C20" s="3" t="s">
        <x:v>197</x:v>
      </x:c>
      <x:c r="D20" s="3" t="s">
        <x:v>198</x:v>
      </x:c>
      <x:c r="E20" s="3" t="s">
        <x:v>199</x:v>
      </x:c>
      <x:c r="F20" s="3" t="s">
        <x:v>182</x:v>
      </x:c>
      <x:c r="G20" s="3" t="s">
        <x:v>200</x:v>
      </x:c>
      <x:c r="H20" s="3" t="s">
        <x:v>201</x:v>
      </x:c>
      <x:c r="I20" s="3" t="s">
        <x:v>202</x:v>
      </x:c>
      <x:c r="J20" s="3" t="s">
        <x:v>167</x:v>
      </x:c>
      <x:c r="K20" s="3" t="s">
        <x:v>75</x:v>
      </x:c>
      <x:c r="L20" s="3" t="s">
        <x:v>203</x:v>
      </x:c>
      <x:c r="M20" s="3" t="s">
        <x:v>12</x:v>
      </x:c>
      <x:c r="N20" s="3"/>
      <x:c r="O20" s="3"/>
      <x:c r="P20" s="3"/>
      <x:c r="Q20" s="3"/>
      <x:c r="R20" s="3"/>
    </x:row>
    <x:row r="21" ht="70" customHeight="1">
      <x:c r="A21" s="3" t="s">
        <x:v>204</x:v>
      </x:c>
      <x:c r="B21" s="3" t="s">
        <x:v>66</x:v>
      </x:c>
      <x:c r="C21" s="3" t="s">
        <x:v>205</x:v>
      </x:c>
      <x:c r="D21" s="3" t="s">
        <x:v>206</x:v>
      </x:c>
      <x:c r="E21" s="3" t="s">
        <x:v>207</x:v>
      </x:c>
      <x:c r="F21" s="3" t="s">
        <x:v>58</x:v>
      </x:c>
      <x:c r="G21" s="3" t="s">
        <x:v>208</x:v>
      </x:c>
      <x:c r="H21" s="3" t="s">
        <x:v>209</x:v>
      </x:c>
      <x:c r="I21" s="3" t="s">
        <x:v>210</x:v>
      </x:c>
      <x:c r="J21" s="3" t="s">
        <x:v>105</x:v>
      </x:c>
      <x:c r="K21" s="3" t="s">
        <x:v>75</x:v>
      </x:c>
      <x:c r="L21" s="3" t="s">
        <x:v>211</x:v>
      </x:c>
      <x:c r="M21" s="3" t="s">
        <x:v>12</x:v>
      </x:c>
      <x:c r="N21" s="3"/>
      <x:c r="O21" s="3"/>
      <x:c r="P21" s="3"/>
      <x:c r="Q21" s="3"/>
      <x:c r="R21" s="3"/>
    </x:row>
    <x:row r="22" ht="70" customHeight="1">
      <x:c r="A22" s="3" t="s">
        <x:v>212</x:v>
      </x:c>
      <x:c r="B22" s="3" t="s">
        <x:v>66</x:v>
      </x:c>
      <x:c r="C22" s="3" t="s">
        <x:v>213</x:v>
      </x:c>
      <x:c r="D22" s="3" t="s">
        <x:v>214</x:v>
      </x:c>
      <x:c r="E22" s="3" t="s">
        <x:v>215</x:v>
      </x:c>
      <x:c r="F22" s="3" t="s">
        <x:v>81</x:v>
      </x:c>
      <x:c r="G22" s="3" t="s">
        <x:v>216</x:v>
      </x:c>
      <x:c r="H22" s="3" t="s">
        <x:v>217</x:v>
      </x:c>
      <x:c r="I22" s="3" t="s">
        <x:v>218</x:v>
      </x:c>
      <x:c r="J22" s="3" t="s">
        <x:v>219</x:v>
      </x:c>
      <x:c r="K22" s="3" t="s">
        <x:v>75</x:v>
      </x:c>
      <x:c r="L22" s="3" t="s">
        <x:v>220</x:v>
      </x:c>
      <x:c r="M22" s="3" t="s">
        <x:v>12</x:v>
      </x:c>
      <x:c r="N22" s="3"/>
      <x:c r="O22" s="3"/>
      <x:c r="P22" s="3"/>
      <x:c r="Q22" s="3"/>
      <x:c r="R22" s="3"/>
    </x:row>
    <x:row r="23" ht="70" customHeight="1">
      <x:c r="A23" s="3" t="s">
        <x:v>221</x:v>
      </x:c>
      <x:c r="B23" s="3" t="s">
        <x:v>66</x:v>
      </x:c>
      <x:c r="C23" s="3" t="s">
        <x:v>222</x:v>
      </x:c>
      <x:c r="D23" s="3" t="s">
        <x:v>223</x:v>
      </x:c>
      <x:c r="E23" s="3" t="s">
        <x:v>224</x:v>
      </x:c>
      <x:c r="F23" s="3" t="s">
        <x:v>81</x:v>
      </x:c>
      <x:c r="G23" s="3" t="s">
        <x:v>225</x:v>
      </x:c>
      <x:c r="H23" s="3" t="s">
        <x:v>226</x:v>
      </x:c>
      <x:c r="I23" s="3" t="s">
        <x:v>227</x:v>
      </x:c>
      <x:c r="J23" s="3" t="s">
        <x:v>105</x:v>
      </x:c>
      <x:c r="K23" s="3" t="s">
        <x:v>75</x:v>
      </x:c>
      <x:c r="L23" s="3" t="s">
        <x:v>228</x:v>
      </x:c>
      <x:c r="M23" s="3" t="s">
        <x:v>12</x:v>
      </x:c>
      <x:c r="N23" s="3"/>
      <x:c r="O23" s="3"/>
      <x:c r="P23" s="3"/>
      <x:c r="Q23" s="3"/>
      <x:c r="R23" s="3"/>
    </x:row>
    <x:row r="24" ht="70" customHeight="1">
      <x:c r="A24" s="3" t="s">
        <x:v>229</x:v>
      </x:c>
      <x:c r="B24" s="3" t="s">
        <x:v>66</x:v>
      </x:c>
      <x:c r="C24" s="3" t="s">
        <x:v>230</x:v>
      </x:c>
      <x:c r="D24" s="3" t="s">
        <x:v>231</x:v>
      </x:c>
      <x:c r="E24" s="3" t="s">
        <x:v>232</x:v>
      </x:c>
      <x:c r="F24" s="3" t="s">
        <x:v>182</x:v>
      </x:c>
      <x:c r="G24" s="3" t="s">
        <x:v>233</x:v>
      </x:c>
      <x:c r="H24" s="3" t="s">
        <x:v>234</x:v>
      </x:c>
      <x:c r="I24" s="3" t="s">
        <x:v>235</x:v>
      </x:c>
      <x:c r="J24" s="3" t="s">
        <x:v>236</x:v>
      </x:c>
      <x:c r="K24" s="3" t="s">
        <x:v>75</x:v>
      </x:c>
      <x:c r="L24" s="3" t="s">
        <x:v>237</x:v>
      </x:c>
      <x:c r="M24" s="3" t="s">
        <x:v>12</x:v>
      </x:c>
      <x:c r="N24" s="3"/>
      <x:c r="O24" s="3"/>
      <x:c r="P24" s="3"/>
      <x:c r="Q24" s="3"/>
      <x:c r="R24" s="3"/>
    </x:row>
    <x:row r="25" ht="70" customHeight="1">
      <x:c r="A25" s="3" t="s">
        <x:v>238</x:v>
      </x:c>
      <x:c r="B25" s="3" t="s">
        <x:v>66</x:v>
      </x:c>
      <x:c r="C25" s="3" t="s">
        <x:v>239</x:v>
      </x:c>
      <x:c r="D25" s="3" t="s">
        <x:v>240</x:v>
      </x:c>
      <x:c r="E25" s="3" t="s">
        <x:v>241</x:v>
      </x:c>
      <x:c r="F25" s="3" t="s">
        <x:v>92</x:v>
      </x:c>
      <x:c r="G25" s="3" t="s">
        <x:v>208</x:v>
      </x:c>
      <x:c r="H25" s="3" t="s">
        <x:v>242</x:v>
      </x:c>
      <x:c r="I25" s="3" t="s">
        <x:v>243</x:v>
      </x:c>
      <x:c r="J25" s="3" t="s">
        <x:v>186</x:v>
      </x:c>
      <x:c r="K25" s="3" t="s">
        <x:v>75</x:v>
      </x:c>
      <x:c r="L25" s="3" t="s">
        <x:v>244</x:v>
      </x:c>
      <x:c r="M25" s="3" t="s">
        <x:v>12</x:v>
      </x:c>
      <x:c r="N25" s="3"/>
      <x:c r="O25" s="3"/>
      <x:c r="P25" s="3"/>
      <x:c r="Q25" s="3"/>
      <x:c r="R25" s="3"/>
    </x:row>
    <x:row r="26" ht="70" customHeight="1">
      <x:c r="A26" s="3" t="s">
        <x:v>245</x:v>
      </x:c>
      <x:c r="B26" s="3" t="s">
        <x:v>66</x:v>
      </x:c>
      <x:c r="C26" s="3" t="s">
        <x:v>246</x:v>
      </x:c>
      <x:c r="D26" s="3" t="s">
        <x:v>247</x:v>
      </x:c>
      <x:c r="E26" s="3" t="s">
        <x:v>248</x:v>
      </x:c>
      <x:c r="F26" s="3" t="s">
        <x:v>70</x:v>
      </x:c>
      <x:c r="G26" s="3" t="s">
        <x:v>208</x:v>
      </x:c>
      <x:c r="H26" s="3" t="s">
        <x:v>249</x:v>
      </x:c>
      <x:c r="I26" s="3" t="s">
        <x:v>250</x:v>
      </x:c>
      <x:c r="J26" s="3" t="s">
        <x:v>105</x:v>
      </x:c>
      <x:c r="K26" s="3" t="s">
        <x:v>75</x:v>
      </x:c>
      <x:c r="L26" s="3" t="s">
        <x:v>251</x:v>
      </x:c>
      <x:c r="M26" s="3" t="s">
        <x:v>12</x:v>
      </x:c>
      <x:c r="N26" s="3"/>
      <x:c r="O26" s="3"/>
      <x:c r="P26" s="3"/>
      <x:c r="Q26" s="3"/>
      <x:c r="R26" s="3"/>
    </x:row>
    <x:row r="27" ht="70" customHeight="1">
      <x:c r="A27" s="3" t="s">
        <x:v>252</x:v>
      </x:c>
      <x:c r="B27" s="3" t="s">
        <x:v>66</x:v>
      </x:c>
      <x:c r="C27" s="3" t="s">
        <x:v>253</x:v>
      </x:c>
      <x:c r="D27" s="3" t="s">
        <x:v>254</x:v>
      </x:c>
      <x:c r="E27" s="3" t="s">
        <x:v>255</x:v>
      </x:c>
      <x:c r="F27" s="3" t="s">
        <x:v>70</x:v>
      </x:c>
      <x:c r="G27" s="3" t="s">
        <x:v>256</x:v>
      </x:c>
      <x:c r="H27" s="3" t="s">
        <x:v>257</x:v>
      </x:c>
      <x:c r="I27" s="3" t="s">
        <x:v>258</x:v>
      </x:c>
      <x:c r="J27" s="3" t="s">
        <x:v>259</x:v>
      </x:c>
      <x:c r="K27" s="3" t="s">
        <x:v>75</x:v>
      </x:c>
      <x:c r="L27" s="3" t="s">
        <x:v>260</x:v>
      </x:c>
      <x:c r="M27" s="3" t="s">
        <x:v>12</x:v>
      </x:c>
      <x:c r="N27" s="3"/>
      <x:c r="O27" s="3"/>
      <x:c r="P27" s="3"/>
      <x:c r="Q27" s="3"/>
      <x:c r="R27" s="3"/>
    </x:row>
    <x:row r="28" ht="70" customHeight="1">
      <x:c r="A28" s="3" t="s">
        <x:v>261</x:v>
      </x:c>
      <x:c r="B28" s="3" t="s">
        <x:v>262</x:v>
      </x:c>
      <x:c r="C28" s="3" t="s">
        <x:v>263</x:v>
      </x:c>
      <x:c r="D28" s="3" t="s">
        <x:v>264</x:v>
      </x:c>
      <x:c r="E28" s="3" t="s">
        <x:v>265</x:v>
      </x:c>
      <x:c r="F28" s="3" t="s">
        <x:v>182</x:v>
      </x:c>
      <x:c r="G28" s="3" t="s">
        <x:v>164</x:v>
      </x:c>
      <x:c r="H28" s="3" t="s">
        <x:v>266</x:v>
      </x:c>
      <x:c r="I28" s="3"/>
      <x:c r="J28" s="3" t="s">
        <x:v>267</x:v>
      </x:c>
      <x:c r="K28" s="3"/>
      <x:c r="L28" s="3" t="s">
        <x:v>268</x:v>
      </x:c>
      <x:c r="M28" s="3" t="s">
        <x:v>12</x:v>
      </x:c>
      <x:c r="N28" s="3"/>
      <x:c r="O28" s="3"/>
      <x:c r="P28" s="3"/>
      <x:c r="Q28" s="3"/>
      <x:c r="R28" s="3"/>
    </x:row>
    <x:row r="29" ht="70" customHeight="1">
      <x:c r="A29" s="3" t="s">
        <x:v>269</x:v>
      </x:c>
      <x:c r="B29" s="3" t="s">
        <x:v>262</x:v>
      </x:c>
      <x:c r="C29" s="3" t="s">
        <x:v>270</x:v>
      </x:c>
      <x:c r="D29" s="3" t="s">
        <x:v>271</x:v>
      </x:c>
      <x:c r="E29" s="3" t="s">
        <x:v>272</x:v>
      </x:c>
      <x:c r="F29" s="3" t="s">
        <x:v>182</x:v>
      </x:c>
      <x:c r="G29" s="3" t="s">
        <x:v>273</x:v>
      </x:c>
      <x:c r="H29" s="3" t="s">
        <x:v>274</x:v>
      </x:c>
      <x:c r="I29" s="3"/>
      <x:c r="J29" s="3" t="s">
        <x:v>267</x:v>
      </x:c>
      <x:c r="K29" s="3"/>
      <x:c r="L29" s="3" t="s">
        <x:v>275</x:v>
      </x:c>
      <x:c r="M29" s="3" t="s">
        <x:v>12</x:v>
      </x:c>
      <x:c r="N29" s="3"/>
      <x:c r="O29" s="3"/>
      <x:c r="P29" s="3"/>
      <x:c r="Q29" s="3"/>
      <x:c r="R29" s="3"/>
    </x:row>
    <x:row r="30" ht="70" customHeight="1">
      <x:c r="A30" s="3" t="s">
        <x:v>276</x:v>
      </x:c>
      <x:c r="B30" s="3" t="s">
        <x:v>262</x:v>
      </x:c>
      <x:c r="C30" s="3" t="s">
        <x:v>277</x:v>
      </x:c>
      <x:c r="D30" s="3" t="s">
        <x:v>278</x:v>
      </x:c>
      <x:c r="E30" s="3" t="s">
        <x:v>279</x:v>
      </x:c>
      <x:c r="F30" s="3" t="s">
        <x:v>182</x:v>
      </x:c>
      <x:c r="G30" s="3" t="s">
        <x:v>280</x:v>
      </x:c>
      <x:c r="H30" s="3" t="s">
        <x:v>281</x:v>
      </x:c>
      <x:c r="I30" s="3"/>
      <x:c r="J30" s="3" t="s">
        <x:v>282</x:v>
      </x:c>
      <x:c r="K30" s="3"/>
      <x:c r="L30" s="3" t="s">
        <x:v>283</x:v>
      </x:c>
      <x:c r="M30" s="3" t="s">
        <x:v>12</x:v>
      </x:c>
      <x:c r="N30" s="3"/>
      <x:c r="O30" s="3"/>
      <x:c r="P30" s="3"/>
      <x:c r="Q30" s="3"/>
      <x:c r="R30" s="3"/>
    </x:row>
    <x:row r="31" ht="70" customHeight="1">
      <x:c r="A31" s="3" t="s">
        <x:v>284</x:v>
      </x:c>
      <x:c r="B31" s="3" t="s">
        <x:v>262</x:v>
      </x:c>
      <x:c r="C31" s="3" t="s">
        <x:v>285</x:v>
      </x:c>
      <x:c r="D31" s="3" t="s">
        <x:v>286</x:v>
      </x:c>
      <x:c r="E31" s="3" t="s">
        <x:v>287</x:v>
      </x:c>
      <x:c r="F31" s="3" t="s">
        <x:v>288</x:v>
      </x:c>
      <x:c r="G31" s="3" t="s">
        <x:v>289</x:v>
      </x:c>
      <x:c r="H31" s="3" t="s">
        <x:v>290</x:v>
      </x:c>
      <x:c r="I31" s="3"/>
      <x:c r="J31" s="3" t="s">
        <x:v>291</x:v>
      </x:c>
      <x:c r="K31" s="3"/>
      <x:c r="L31" s="3" t="s">
        <x:v>292</x:v>
      </x:c>
      <x:c r="M31" s="3" t="s">
        <x:v>12</x:v>
      </x:c>
      <x:c r="N31" s="3"/>
      <x:c r="O31" s="3"/>
      <x:c r="P31" s="3"/>
      <x:c r="Q31" s="3"/>
      <x:c r="R31" s="3"/>
    </x:row>
    <x:row r="32" ht="70" customHeight="1">
      <x:c r="A32" s="3" t="s">
        <x:v>293</x:v>
      </x:c>
      <x:c r="B32" s="3" t="s">
        <x:v>262</x:v>
      </x:c>
      <x:c r="C32" s="3" t="s">
        <x:v>294</x:v>
      </x:c>
      <x:c r="D32" s="3" t="s">
        <x:v>295</x:v>
      </x:c>
      <x:c r="E32" s="3" t="s">
        <x:v>296</x:v>
      </x:c>
      <x:c r="F32" s="3" t="s">
        <x:v>297</x:v>
      </x:c>
      <x:c r="G32" s="3" t="s">
        <x:v>298</x:v>
      </x:c>
      <x:c r="H32" s="3" t="s">
        <x:v>299</x:v>
      </x:c>
      <x:c r="I32" s="3"/>
      <x:c r="J32" s="3" t="s">
        <x:v>291</x:v>
      </x:c>
      <x:c r="K32" s="3"/>
      <x:c r="L32" s="3" t="s">
        <x:v>300</x:v>
      </x:c>
      <x:c r="M32" s="3" t="s">
        <x:v>12</x:v>
      </x:c>
      <x:c r="N32" s="3"/>
      <x:c r="O32" s="3"/>
      <x:c r="P32" s="3"/>
      <x:c r="Q32" s="3"/>
      <x:c r="R32" s="3"/>
    </x:row>
    <x:row r="33" ht="70" customHeight="1">
      <x:c r="A33" s="3" t="s">
        <x:v>301</x:v>
      </x:c>
      <x:c r="B33" s="3" t="s">
        <x:v>262</x:v>
      </x:c>
      <x:c r="C33" s="3" t="s">
        <x:v>302</x:v>
      </x:c>
      <x:c r="D33" s="3" t="s">
        <x:v>303</x:v>
      </x:c>
      <x:c r="E33" s="3" t="s">
        <x:v>304</x:v>
      </x:c>
      <x:c r="F33" s="3" t="s">
        <x:v>288</x:v>
      </x:c>
      <x:c r="G33" s="3" t="s">
        <x:v>305</x:v>
      </x:c>
      <x:c r="H33" s="3" t="s">
        <x:v>306</x:v>
      </x:c>
      <x:c r="I33" s="3"/>
      <x:c r="J33" s="3" t="s">
        <x:v>291</x:v>
      </x:c>
      <x:c r="K33" s="3"/>
      <x:c r="L33" s="3" t="s">
        <x:v>307</x:v>
      </x:c>
      <x:c r="M33" s="3" t="s">
        <x:v>12</x:v>
      </x:c>
      <x:c r="N33" s="3"/>
      <x:c r="O33" s="3"/>
      <x:c r="P33" s="3"/>
      <x:c r="Q33" s="3"/>
      <x:c r="R33" s="3"/>
    </x:row>
    <x:row r="34" ht="70" customHeight="1">
      <x:c r="A34" s="3" t="s">
        <x:v>308</x:v>
      </x:c>
      <x:c r="B34" s="3" t="s">
        <x:v>262</x:v>
      </x:c>
      <x:c r="C34" s="3" t="s">
        <x:v>309</x:v>
      </x:c>
      <x:c r="D34" s="3" t="s">
        <x:v>310</x:v>
      </x:c>
      <x:c r="E34" s="3" t="s">
        <x:v>311</x:v>
      </x:c>
      <x:c r="F34" s="3" t="s">
        <x:v>58</x:v>
      </x:c>
      <x:c r="G34" s="3" t="s">
        <x:v>312</x:v>
      </x:c>
      <x:c r="H34" s="3" t="s">
        <x:v>313</x:v>
      </x:c>
      <x:c r="I34" s="3"/>
      <x:c r="J34" s="3" t="s">
        <x:v>291</x:v>
      </x:c>
      <x:c r="K34" s="3"/>
      <x:c r="L34" s="3" t="s">
        <x:v>314</x:v>
      </x:c>
      <x:c r="M34" s="3" t="s">
        <x:v>12</x:v>
      </x:c>
      <x:c r="N34" s="3"/>
      <x:c r="O34" s="3"/>
      <x:c r="P34" s="3"/>
      <x:c r="Q34" s="3"/>
      <x:c r="R34" s="3"/>
    </x:row>
    <x:row r="35" ht="70" customHeight="1">
      <x:c r="A35" s="3" t="s">
        <x:v>315</x:v>
      </x:c>
      <x:c r="B35" s="3" t="s">
        <x:v>262</x:v>
      </x:c>
      <x:c r="C35" s="3" t="s">
        <x:v>316</x:v>
      </x:c>
      <x:c r="D35" s="3" t="s">
        <x:v>317</x:v>
      </x:c>
      <x:c r="E35" s="3" t="s">
        <x:v>318</x:v>
      </x:c>
      <x:c r="F35" s="3" t="s">
        <x:v>70</x:v>
      </x:c>
      <x:c r="G35" s="3" t="s">
        <x:v>319</x:v>
      </x:c>
      <x:c r="H35" s="3" t="s">
        <x:v>320</x:v>
      </x:c>
      <x:c r="I35" s="3"/>
      <x:c r="J35" s="3" t="s">
        <x:v>291</x:v>
      </x:c>
      <x:c r="K35" s="3"/>
      <x:c r="L35" s="3" t="s">
        <x:v>321</x:v>
      </x:c>
      <x:c r="M35" s="3" t="s">
        <x:v>12</x:v>
      </x:c>
      <x:c r="N35" s="3"/>
      <x:c r="O35" s="3"/>
      <x:c r="P35" s="3"/>
      <x:c r="Q35" s="3"/>
      <x:c r="R35" s="3"/>
    </x:row>
    <x:row r="36" ht="70" customHeight="1">
      <x:c r="A36" s="3" t="s">
        <x:v>322</x:v>
      </x:c>
      <x:c r="B36" s="3" t="s">
        <x:v>262</x:v>
      </x:c>
      <x:c r="C36" s="3" t="s">
        <x:v>323</x:v>
      </x:c>
      <x:c r="D36" s="3" t="s">
        <x:v>324</x:v>
      </x:c>
      <x:c r="E36" s="3" t="s">
        <x:v>325</x:v>
      </x:c>
      <x:c r="F36" s="3" t="s">
        <x:v>288</x:v>
      </x:c>
      <x:c r="G36" s="3" t="s">
        <x:v>326</x:v>
      </x:c>
      <x:c r="H36" s="3" t="s">
        <x:v>327</x:v>
      </x:c>
      <x:c r="I36" s="3"/>
      <x:c r="J36" s="3" t="s">
        <x:v>291</x:v>
      </x:c>
      <x:c r="K36" s="3"/>
      <x:c r="L36" s="3" t="s">
        <x:v>328</x:v>
      </x:c>
      <x:c r="M36" s="3" t="s">
        <x:v>12</x:v>
      </x:c>
      <x:c r="N36" s="3"/>
      <x:c r="O36" s="3"/>
      <x:c r="P36" s="3"/>
      <x:c r="Q36" s="3"/>
      <x:c r="R36" s="3"/>
    </x:row>
    <x:row r="37" ht="70" customHeight="1">
      <x:c r="A37" s="3" t="s">
        <x:v>329</x:v>
      </x:c>
      <x:c r="B37" s="3" t="s">
        <x:v>262</x:v>
      </x:c>
      <x:c r="C37" s="3" t="s">
        <x:v>330</x:v>
      </x:c>
      <x:c r="D37" s="3" t="s">
        <x:v>331</x:v>
      </x:c>
      <x:c r="E37" s="3" t="s">
        <x:v>332</x:v>
      </x:c>
      <x:c r="F37" s="3" t="s">
        <x:v>288</x:v>
      </x:c>
      <x:c r="G37" s="3" t="s">
        <x:v>333</x:v>
      </x:c>
      <x:c r="H37" s="3" t="s">
        <x:v>334</x:v>
      </x:c>
      <x:c r="I37" s="3"/>
      <x:c r="J37" s="3" t="s">
        <x:v>291</x:v>
      </x:c>
      <x:c r="K37" s="3"/>
      <x:c r="L37" s="3" t="s">
        <x:v>335</x:v>
      </x:c>
      <x:c r="M37" s="3" t="s">
        <x:v>12</x:v>
      </x:c>
      <x:c r="N37" s="3"/>
      <x:c r="O37" s="3"/>
      <x:c r="P37" s="3"/>
      <x:c r="Q37" s="3"/>
      <x:c r="R37" s="3"/>
    </x:row>
    <x:row r="38" ht="70" customHeight="1">
      <x:c r="A38" s="3" t="s">
        <x:v>336</x:v>
      </x:c>
      <x:c r="B38" s="3" t="s">
        <x:v>262</x:v>
      </x:c>
      <x:c r="C38" s="3" t="s">
        <x:v>337</x:v>
      </x:c>
      <x:c r="D38" s="3" t="s">
        <x:v>338</x:v>
      </x:c>
      <x:c r="E38" s="3" t="s">
        <x:v>339</x:v>
      </x:c>
      <x:c r="F38" s="3" t="s">
        <x:v>70</x:v>
      </x:c>
      <x:c r="G38" s="3" t="s">
        <x:v>340</x:v>
      </x:c>
      <x:c r="H38" s="3" t="s">
        <x:v>341</x:v>
      </x:c>
      <x:c r="I38" s="3"/>
      <x:c r="J38" s="3" t="s">
        <x:v>291</x:v>
      </x:c>
      <x:c r="K38" s="3"/>
      <x:c r="L38" s="3" t="s">
        <x:v>342</x:v>
      </x:c>
      <x:c r="M38" s="3" t="s">
        <x:v>12</x:v>
      </x:c>
      <x:c r="N38" s="3"/>
      <x:c r="O38" s="3"/>
      <x:c r="P38" s="3"/>
      <x:c r="Q38" s="3"/>
      <x:c r="R38" s="3"/>
    </x:row>
    <x:row r="39" ht="70" customHeight="1">
      <x:c r="A39" s="3" t="s">
        <x:v>343</x:v>
      </x:c>
      <x:c r="B39" s="3" t="s">
        <x:v>262</x:v>
      </x:c>
      <x:c r="C39" s="3" t="s">
        <x:v>344</x:v>
      </x:c>
      <x:c r="D39" s="3" t="s">
        <x:v>345</x:v>
      </x:c>
      <x:c r="E39" s="3" t="s">
        <x:v>346</x:v>
      </x:c>
      <x:c r="F39" s="3" t="s">
        <x:v>347</x:v>
      </x:c>
      <x:c r="G39" s="3" t="s">
        <x:v>348</x:v>
      </x:c>
      <x:c r="H39" s="3" t="s">
        <x:v>349</x:v>
      </x:c>
      <x:c r="I39" s="3"/>
      <x:c r="J39" s="3" t="s">
        <x:v>291</x:v>
      </x:c>
      <x:c r="K39" s="3"/>
      <x:c r="L39" s="3" t="s">
        <x:v>350</x:v>
      </x:c>
      <x:c r="M39" s="3" t="s">
        <x:v>12</x:v>
      </x:c>
      <x:c r="N39" s="3"/>
      <x:c r="O39" s="3"/>
      <x:c r="P39" s="3"/>
      <x:c r="Q39" s="3"/>
      <x:c r="R39" s="3"/>
    </x:row>
    <x:row r="40" ht="70" customHeight="1">
      <x:c r="A40" s="3" t="s">
        <x:v>351</x:v>
      </x:c>
      <x:c r="B40" s="3" t="s">
        <x:v>262</x:v>
      </x:c>
      <x:c r="C40" s="3" t="s">
        <x:v>352</x:v>
      </x:c>
      <x:c r="D40" s="3" t="s">
        <x:v>353</x:v>
      </x:c>
      <x:c r="E40" s="3" t="s">
        <x:v>354</x:v>
      </x:c>
      <x:c r="F40" s="3" t="s">
        <x:v>70</x:v>
      </x:c>
      <x:c r="G40" s="3" t="s">
        <x:v>355</x:v>
      </x:c>
      <x:c r="H40" s="3" t="s">
        <x:v>356</x:v>
      </x:c>
      <x:c r="I40" s="3"/>
      <x:c r="J40" s="3" t="s">
        <x:v>291</x:v>
      </x:c>
      <x:c r="K40" s="3"/>
      <x:c r="L40" s="3" t="s">
        <x:v>357</x:v>
      </x:c>
      <x:c r="M40" s="3" t="s">
        <x:v>12</x:v>
      </x:c>
      <x:c r="N40" s="3"/>
      <x:c r="O40" s="3"/>
      <x:c r="P40" s="3"/>
      <x:c r="Q40" s="3"/>
      <x:c r="R40" s="3"/>
    </x:row>
    <x:row r="41" ht="70" customHeight="1">
      <x:c r="A41" s="3" t="s">
        <x:v>358</x:v>
      </x:c>
      <x:c r="B41" s="3" t="s">
        <x:v>262</x:v>
      </x:c>
      <x:c r="C41" s="3" t="s">
        <x:v>359</x:v>
      </x:c>
      <x:c r="D41" s="3" t="s">
        <x:v>360</x:v>
      </x:c>
      <x:c r="E41" s="3" t="s">
        <x:v>361</x:v>
      </x:c>
      <x:c r="F41" s="3" t="s">
        <x:v>70</x:v>
      </x:c>
      <x:c r="G41" s="3" t="s">
        <x:v>362</x:v>
      </x:c>
      <x:c r="H41" s="3" t="s">
        <x:v>363</x:v>
      </x:c>
      <x:c r="I41" s="3"/>
      <x:c r="J41" s="3" t="s">
        <x:v>291</x:v>
      </x:c>
      <x:c r="K41" s="3"/>
      <x:c r="L41" s="3" t="s">
        <x:v>364</x:v>
      </x:c>
      <x:c r="M41" s="3" t="s">
        <x:v>12</x:v>
      </x:c>
      <x:c r="N41" s="3"/>
      <x:c r="O41" s="3"/>
      <x:c r="P41" s="3"/>
      <x:c r="Q41" s="3"/>
      <x:c r="R41" s="3"/>
    </x:row>
    <x:row r="42" ht="70" customHeight="1">
      <x:c r="A42" s="3" t="s">
        <x:v>365</x:v>
      </x:c>
      <x:c r="B42" s="3" t="s">
        <x:v>262</x:v>
      </x:c>
      <x:c r="C42" s="3" t="s">
        <x:v>366</x:v>
      </x:c>
      <x:c r="D42" s="3" t="s">
        <x:v>367</x:v>
      </x:c>
      <x:c r="E42" s="3" t="s">
        <x:v>368</x:v>
      </x:c>
      <x:c r="F42" s="3" t="s">
        <x:v>81</x:v>
      </x:c>
      <x:c r="G42" s="3" t="s">
        <x:v>369</x:v>
      </x:c>
      <x:c r="H42" s="3" t="s">
        <x:v>370</x:v>
      </x:c>
      <x:c r="I42" s="3"/>
      <x:c r="J42" s="3" t="s">
        <x:v>291</x:v>
      </x:c>
      <x:c r="K42" s="3"/>
      <x:c r="L42" s="3" t="s">
        <x:v>371</x:v>
      </x:c>
      <x:c r="M42" s="3" t="s">
        <x:v>12</x:v>
      </x:c>
      <x:c r="N42" s="3"/>
      <x:c r="O42" s="3"/>
      <x:c r="P42" s="3"/>
      <x:c r="Q42" s="3"/>
      <x:c r="R42" s="3"/>
    </x:row>
    <x:row r="43" ht="70" customHeight="1">
      <x:c r="A43" s="3" t="s">
        <x:v>372</x:v>
      </x:c>
      <x:c r="B43" s="3" t="s">
        <x:v>262</x:v>
      </x:c>
      <x:c r="C43" s="3" t="s">
        <x:v>373</x:v>
      </x:c>
      <x:c r="D43" s="3" t="s">
        <x:v>374</x:v>
      </x:c>
      <x:c r="E43" s="3" t="s">
        <x:v>375</x:v>
      </x:c>
      <x:c r="F43" s="3" t="s">
        <x:v>70</x:v>
      </x:c>
      <x:c r="G43" s="3" t="s">
        <x:v>376</x:v>
      </x:c>
      <x:c r="H43" s="3" t="s">
        <x:v>377</x:v>
      </x:c>
      <x:c r="I43" s="3"/>
      <x:c r="J43" s="3" t="s">
        <x:v>291</x:v>
      </x:c>
      <x:c r="K43" s="3"/>
      <x:c r="L43" s="3" t="s">
        <x:v>378</x:v>
      </x:c>
      <x:c r="M43" s="3" t="s">
        <x:v>12</x:v>
      </x:c>
      <x:c r="N43" s="3"/>
      <x:c r="O43" s="3"/>
      <x:c r="P43" s="3"/>
      <x:c r="Q43" s="3"/>
      <x:c r="R43" s="3"/>
    </x:row>
    <x:row r="44" ht="70" customHeight="1">
      <x:c r="A44" s="3" t="s">
        <x:v>379</x:v>
      </x:c>
      <x:c r="B44" s="3" t="s">
        <x:v>262</x:v>
      </x:c>
      <x:c r="C44" s="3" t="s">
        <x:v>380</x:v>
      </x:c>
      <x:c r="D44" s="3" t="s">
        <x:v>381</x:v>
      </x:c>
      <x:c r="E44" s="3" t="s">
        <x:v>382</x:v>
      </x:c>
      <x:c r="F44" s="3" t="s">
        <x:v>81</x:v>
      </x:c>
      <x:c r="G44" s="3" t="s">
        <x:v>383</x:v>
      </x:c>
      <x:c r="H44" s="3" t="s">
        <x:v>384</x:v>
      </x:c>
      <x:c r="I44" s="3"/>
      <x:c r="J44" s="3" t="s">
        <x:v>291</x:v>
      </x:c>
      <x:c r="K44" s="3"/>
      <x:c r="L44" s="3" t="s">
        <x:v>385</x:v>
      </x:c>
      <x:c r="M44" s="3" t="s">
        <x:v>12</x:v>
      </x:c>
      <x:c r="N44" s="3"/>
      <x:c r="O44" s="3"/>
      <x:c r="P44" s="3"/>
      <x:c r="Q44" s="3"/>
      <x:c r="R44" s="3"/>
    </x:row>
    <x:row r="45" ht="70" customHeight="1">
      <x:c r="A45" s="3" t="s">
        <x:v>386</x:v>
      </x:c>
      <x:c r="B45" s="3" t="s">
        <x:v>262</x:v>
      </x:c>
      <x:c r="C45" s="3" t="s">
        <x:v>387</x:v>
      </x:c>
      <x:c r="D45" s="3" t="s">
        <x:v>388</x:v>
      </x:c>
      <x:c r="E45" s="3" t="s">
        <x:v>389</x:v>
      </x:c>
      <x:c r="F45" s="3" t="s">
        <x:v>92</x:v>
      </x:c>
      <x:c r="G45" s="3" t="s">
        <x:v>390</x:v>
      </x:c>
      <x:c r="H45" s="3" t="s">
        <x:v>391</x:v>
      </x:c>
      <x:c r="I45" s="3"/>
      <x:c r="J45" s="3" t="s">
        <x:v>392</x:v>
      </x:c>
      <x:c r="K45" s="3"/>
      <x:c r="L45" s="3" t="s">
        <x:v>393</x:v>
      </x:c>
      <x:c r="M45" s="3" t="s">
        <x:v>12</x:v>
      </x:c>
      <x:c r="N45" s="3"/>
      <x:c r="O45" s="3"/>
      <x:c r="P45" s="3"/>
      <x:c r="Q45" s="3"/>
      <x:c r="R45" s="3"/>
    </x:row>
    <x:row r="46" ht="70" customHeight="1">
      <x:c r="A46" s="3" t="s">
        <x:v>394</x:v>
      </x:c>
      <x:c r="B46" s="3" t="s">
        <x:v>262</x:v>
      </x:c>
      <x:c r="C46" s="3" t="s">
        <x:v>395</x:v>
      </x:c>
      <x:c r="D46" s="3" t="s">
        <x:v>396</x:v>
      </x:c>
      <x:c r="E46" s="3" t="s">
        <x:v>397</x:v>
      </x:c>
      <x:c r="F46" s="3" t="s">
        <x:v>92</x:v>
      </x:c>
      <x:c r="G46" s="3" t="s">
        <x:v>398</x:v>
      </x:c>
      <x:c r="H46" s="3" t="s">
        <x:v>399</x:v>
      </x:c>
      <x:c r="I46" s="3"/>
      <x:c r="J46" s="3" t="s">
        <x:v>291</x:v>
      </x:c>
      <x:c r="K46" s="3"/>
      <x:c r="L46" s="3" t="s">
        <x:v>400</x:v>
      </x:c>
      <x:c r="M46" s="3" t="s">
        <x:v>12</x:v>
      </x:c>
      <x:c r="N46" s="3"/>
      <x:c r="O46" s="3"/>
      <x:c r="P46" s="3"/>
      <x:c r="Q46" s="3"/>
      <x:c r="R46" s="3"/>
    </x:row>
    <x:row r="47" ht="70" customHeight="1">
      <x:c r="A47" s="3" t="s">
        <x:v>401</x:v>
      </x:c>
      <x:c r="B47" s="3" t="s">
        <x:v>262</x:v>
      </x:c>
      <x:c r="C47" s="3" t="s">
        <x:v>402</x:v>
      </x:c>
      <x:c r="D47" s="3" t="s">
        <x:v>403</x:v>
      </x:c>
      <x:c r="E47" s="3" t="s">
        <x:v>404</x:v>
      </x:c>
      <x:c r="F47" s="3" t="s">
        <x:v>92</x:v>
      </x:c>
      <x:c r="G47" s="3" t="s">
        <x:v>405</x:v>
      </x:c>
      <x:c r="H47" s="3" t="s">
        <x:v>406</x:v>
      </x:c>
      <x:c r="I47" s="3"/>
      <x:c r="J47" s="3" t="s">
        <x:v>291</x:v>
      </x:c>
      <x:c r="K47" s="3"/>
      <x:c r="L47" s="3" t="s">
        <x:v>407</x:v>
      </x:c>
      <x:c r="M47" s="3" t="s">
        <x:v>12</x:v>
      </x:c>
      <x:c r="N47" s="3"/>
      <x:c r="O47" s="3"/>
      <x:c r="P47" s="3"/>
      <x:c r="Q47" s="3"/>
      <x:c r="R47" s="3"/>
    </x:row>
    <x:row r="48" ht="70" customHeight="1">
      <x:c r="A48" s="3" t="s">
        <x:v>408</x:v>
      </x:c>
      <x:c r="B48" s="3" t="s">
        <x:v>262</x:v>
      </x:c>
      <x:c r="C48" s="3" t="s">
        <x:v>409</x:v>
      </x:c>
      <x:c r="D48" s="3" t="s">
        <x:v>410</x:v>
      </x:c>
      <x:c r="E48" s="3" t="s">
        <x:v>411</x:v>
      </x:c>
      <x:c r="F48" s="3" t="s">
        <x:v>92</x:v>
      </x:c>
      <x:c r="G48" s="3" t="s">
        <x:v>412</x:v>
      </x:c>
      <x:c r="H48" s="3" t="s">
        <x:v>413</x:v>
      </x:c>
      <x:c r="I48" s="3"/>
      <x:c r="J48" s="3" t="s">
        <x:v>291</x:v>
      </x:c>
      <x:c r="K48" s="3"/>
      <x:c r="L48" s="3" t="s">
        <x:v>414</x:v>
      </x:c>
      <x:c r="M48" s="3" t="s">
        <x:v>12</x:v>
      </x:c>
      <x:c r="N48" s="3"/>
      <x:c r="O48" s="3"/>
      <x:c r="P48" s="3"/>
      <x:c r="Q48" s="3"/>
      <x:c r="R48" s="3"/>
    </x:row>
    <x:row r="49" ht="70" customHeight="1">
      <x:c r="A49" s="3" t="s">
        <x:v>415</x:v>
      </x:c>
      <x:c r="B49" s="3" t="s">
        <x:v>262</x:v>
      </x:c>
      <x:c r="C49" s="3" t="s">
        <x:v>416</x:v>
      </x:c>
      <x:c r="D49" s="3" t="s">
        <x:v>417</x:v>
      </x:c>
      <x:c r="E49" s="3" t="s">
        <x:v>418</x:v>
      </x:c>
      <x:c r="F49" s="3" t="s">
        <x:v>81</x:v>
      </x:c>
      <x:c r="G49" s="3" t="s">
        <x:v>419</x:v>
      </x:c>
      <x:c r="H49" s="3" t="s">
        <x:v>420</x:v>
      </x:c>
      <x:c r="I49" s="3"/>
      <x:c r="J49" s="3" t="s">
        <x:v>291</x:v>
      </x:c>
      <x:c r="K49" s="3"/>
      <x:c r="L49" s="3" t="s">
        <x:v>421</x:v>
      </x:c>
      <x:c r="M49" s="3" t="s">
        <x:v>12</x:v>
      </x:c>
      <x:c r="N49" s="3"/>
      <x:c r="O49" s="3"/>
      <x:c r="P49" s="3"/>
      <x:c r="Q49" s="3"/>
      <x:c r="R49" s="3"/>
    </x:row>
    <x:row r="50" ht="70" customHeight="1">
      <x:c r="A50" s="3" t="s">
        <x:v>422</x:v>
      </x:c>
      <x:c r="B50" s="3" t="s">
        <x:v>262</x:v>
      </x:c>
      <x:c r="C50" s="3" t="s">
        <x:v>423</x:v>
      </x:c>
      <x:c r="D50" s="3" t="s">
        <x:v>424</x:v>
      </x:c>
      <x:c r="E50" s="3" t="s">
        <x:v>425</x:v>
      </x:c>
      <x:c r="F50" s="3" t="s">
        <x:v>92</x:v>
      </x:c>
      <x:c r="G50" s="3" t="s">
        <x:v>426</x:v>
      </x:c>
      <x:c r="H50" s="3" t="s">
        <x:v>427</x:v>
      </x:c>
      <x:c r="I50" s="3"/>
      <x:c r="J50" s="3" t="s">
        <x:v>291</x:v>
      </x:c>
      <x:c r="K50" s="3"/>
      <x:c r="L50" s="3" t="s">
        <x:v>428</x:v>
      </x:c>
      <x:c r="M50" s="3" t="s">
        <x:v>12</x:v>
      </x:c>
      <x:c r="N50" s="3"/>
      <x:c r="O50" s="3"/>
      <x:c r="P50" s="3"/>
      <x:c r="Q50" s="3"/>
      <x:c r="R50" s="3"/>
    </x:row>
    <x:row r="51" ht="70" customHeight="1">
      <x:c r="A51" s="3" t="s">
        <x:v>429</x:v>
      </x:c>
      <x:c r="B51" s="3" t="s">
        <x:v>262</x:v>
      </x:c>
      <x:c r="C51" s="3" t="s">
        <x:v>430</x:v>
      </x:c>
      <x:c r="D51" s="3" t="s">
        <x:v>431</x:v>
      </x:c>
      <x:c r="E51" s="3" t="s">
        <x:v>432</x:v>
      </x:c>
      <x:c r="F51" s="3" t="s">
        <x:v>81</x:v>
      </x:c>
      <x:c r="G51" s="3" t="s">
        <x:v>433</x:v>
      </x:c>
      <x:c r="H51" s="3" t="s">
        <x:v>434</x:v>
      </x:c>
      <x:c r="I51" s="3"/>
      <x:c r="J51" s="3" t="s">
        <x:v>291</x:v>
      </x:c>
      <x:c r="K51" s="3"/>
      <x:c r="L51" s="3" t="s">
        <x:v>435</x:v>
      </x:c>
      <x:c r="M51" s="3" t="s">
        <x:v>12</x:v>
      </x:c>
      <x:c r="N51" s="3"/>
      <x:c r="O51" s="3"/>
      <x:c r="P51" s="3"/>
      <x:c r="Q51" s="3"/>
      <x:c r="R51" s="3"/>
    </x:row>
    <x:row r="52" ht="70" customHeight="1">
      <x:c r="A52" s="3" t="s">
        <x:v>436</x:v>
      </x:c>
      <x:c r="B52" s="3" t="s">
        <x:v>262</x:v>
      </x:c>
      <x:c r="C52" s="3" t="s">
        <x:v>437</x:v>
      </x:c>
      <x:c r="D52" s="3" t="s">
        <x:v>438</x:v>
      </x:c>
      <x:c r="E52" s="3" t="s">
        <x:v>439</x:v>
      </x:c>
      <x:c r="F52" s="3" t="s">
        <x:v>58</x:v>
      </x:c>
      <x:c r="G52" s="3" t="s">
        <x:v>440</x:v>
      </x:c>
      <x:c r="H52" s="3" t="s">
        <x:v>441</x:v>
      </x:c>
      <x:c r="I52" s="3"/>
      <x:c r="J52" s="3" t="s">
        <x:v>291</x:v>
      </x:c>
      <x:c r="K52" s="3"/>
      <x:c r="L52" s="3" t="s">
        <x:v>442</x:v>
      </x:c>
      <x:c r="M52" s="3" t="s">
        <x:v>12</x:v>
      </x:c>
      <x:c r="N52" s="3"/>
      <x:c r="O52" s="3"/>
      <x:c r="P52" s="3"/>
      <x:c r="Q52" s="3"/>
      <x:c r="R52" s="3"/>
    </x:row>
    <x:row r="53" ht="70" customHeight="1">
      <x:c r="A53" s="3" t="s">
        <x:v>443</x:v>
      </x:c>
      <x:c r="B53" s="3" t="s">
        <x:v>262</x:v>
      </x:c>
      <x:c r="C53" s="3" t="s">
        <x:v>444</x:v>
      </x:c>
      <x:c r="D53" s="3" t="s">
        <x:v>445</x:v>
      </x:c>
      <x:c r="E53" s="3" t="s">
        <x:v>446</x:v>
      </x:c>
      <x:c r="F53" s="3" t="s">
        <x:v>297</x:v>
      </x:c>
      <x:c r="G53" s="3" t="s">
        <x:v>447</x:v>
      </x:c>
      <x:c r="H53" s="3" t="s">
        <x:v>448</x:v>
      </x:c>
      <x:c r="I53" s="3"/>
      <x:c r="J53" s="3" t="s">
        <x:v>291</x:v>
      </x:c>
      <x:c r="K53" s="3"/>
      <x:c r="L53" s="3" t="s">
        <x:v>449</x:v>
      </x:c>
      <x:c r="M53" s="3" t="s">
        <x:v>12</x:v>
      </x:c>
      <x:c r="N53" s="3"/>
      <x:c r="O53" s="3"/>
      <x:c r="P53" s="3"/>
      <x:c r="Q53" s="3"/>
      <x:c r="R53" s="3"/>
    </x:row>
    <x:row r="54" ht="70" customHeight="1">
      <x:c r="A54" s="3" t="s">
        <x:v>450</x:v>
      </x:c>
      <x:c r="B54" s="3" t="s">
        <x:v>262</x:v>
      </x:c>
      <x:c r="C54" s="3" t="s">
        <x:v>451</x:v>
      </x:c>
      <x:c r="D54" s="3" t="s">
        <x:v>452</x:v>
      </x:c>
      <x:c r="E54" s="3" t="s">
        <x:v>453</x:v>
      </x:c>
      <x:c r="F54" s="3" t="s">
        <x:v>92</x:v>
      </x:c>
      <x:c r="G54" s="3" t="s">
        <x:v>454</x:v>
      </x:c>
      <x:c r="H54" s="3" t="s">
        <x:v>455</x:v>
      </x:c>
      <x:c r="I54" s="3"/>
      <x:c r="J54" s="3" t="s">
        <x:v>267</x:v>
      </x:c>
      <x:c r="K54" s="3"/>
      <x:c r="L54" s="3" t="s">
        <x:v>456</x:v>
      </x:c>
      <x:c r="M54" s="3" t="s">
        <x:v>12</x:v>
      </x:c>
      <x:c r="N54" s="3"/>
      <x:c r="O54" s="3"/>
      <x:c r="P54" s="3"/>
      <x:c r="Q54" s="3"/>
      <x:c r="R54" s="3"/>
    </x:row>
    <x:row r="55" ht="70" customHeight="1">
      <x:c r="A55" s="3" t="s">
        <x:v>457</x:v>
      </x:c>
      <x:c r="B55" s="3" t="s">
        <x:v>262</x:v>
      </x:c>
      <x:c r="C55" s="3" t="s">
        <x:v>458</x:v>
      </x:c>
      <x:c r="D55" s="3" t="s">
        <x:v>459</x:v>
      </x:c>
      <x:c r="E55" s="3" t="s">
        <x:v>460</x:v>
      </x:c>
      <x:c r="F55" s="3" t="s">
        <x:v>70</x:v>
      </x:c>
      <x:c r="G55" s="3" t="s">
        <x:v>461</x:v>
      </x:c>
      <x:c r="H55" s="3" t="s">
        <x:v>462</x:v>
      </x:c>
      <x:c r="I55" s="3"/>
      <x:c r="J55" s="3" t="s">
        <x:v>291</x:v>
      </x:c>
      <x:c r="K55" s="3"/>
      <x:c r="L55" s="3" t="s">
        <x:v>463</x:v>
      </x:c>
      <x:c r="M55" s="3" t="s">
        <x:v>12</x:v>
      </x:c>
      <x:c r="N55" s="3"/>
      <x:c r="O55" s="3"/>
      <x:c r="P55" s="3"/>
      <x:c r="Q55" s="3"/>
      <x:c r="R55" s="3"/>
    </x:row>
    <x:row r="56" ht="70" customHeight="1">
      <x:c r="A56" s="3" t="s">
        <x:v>464</x:v>
      </x:c>
      <x:c r="B56" s="3" t="s">
        <x:v>262</x:v>
      </x:c>
      <x:c r="C56" s="3" t="s">
        <x:v>465</x:v>
      </x:c>
      <x:c r="D56" s="3" t="s">
        <x:v>466</x:v>
      </x:c>
      <x:c r="E56" s="3" t="s">
        <x:v>467</x:v>
      </x:c>
      <x:c r="F56" s="3" t="s">
        <x:v>92</x:v>
      </x:c>
      <x:c r="G56" s="3" t="s">
        <x:v>468</x:v>
      </x:c>
      <x:c r="H56" s="3" t="s">
        <x:v>469</x:v>
      </x:c>
      <x:c r="I56" s="3"/>
      <x:c r="J56" s="3" t="s">
        <x:v>291</x:v>
      </x:c>
      <x:c r="K56" s="3"/>
      <x:c r="L56" s="3" t="s">
        <x:v>470</x:v>
      </x:c>
      <x:c r="M56" s="3" t="s">
        <x:v>12</x:v>
      </x:c>
      <x:c r="N56" s="3"/>
      <x:c r="O56" s="3"/>
      <x:c r="P56" s="3"/>
      <x:c r="Q56" s="3"/>
      <x:c r="R56" s="3"/>
    </x:row>
    <x:row r="57" ht="70" customHeight="1">
      <x:c r="A57" s="3" t="s">
        <x:v>471</x:v>
      </x:c>
      <x:c r="B57" s="3" t="s">
        <x:v>262</x:v>
      </x:c>
      <x:c r="C57" s="3" t="s">
        <x:v>472</x:v>
      </x:c>
      <x:c r="D57" s="3" t="s">
        <x:v>473</x:v>
      </x:c>
      <x:c r="E57" s="3" t="s">
        <x:v>474</x:v>
      </x:c>
      <x:c r="F57" s="3" t="s">
        <x:v>70</x:v>
      </x:c>
      <x:c r="G57" s="3" t="s">
        <x:v>475</x:v>
      </x:c>
      <x:c r="H57" s="3" t="s">
        <x:v>476</x:v>
      </x:c>
      <x:c r="I57" s="3"/>
      <x:c r="J57" s="3" t="s">
        <x:v>291</x:v>
      </x:c>
      <x:c r="K57" s="3"/>
      <x:c r="L57" s="3" t="s">
        <x:v>477</x:v>
      </x:c>
      <x:c r="M57" s="3" t="s">
        <x:v>12</x:v>
      </x:c>
      <x:c r="N57" s="3"/>
      <x:c r="O57" s="3"/>
      <x:c r="P57" s="3"/>
      <x:c r="Q57" s="3"/>
      <x:c r="R57" s="3"/>
    </x:row>
    <x:row r="58" ht="70" customHeight="1">
      <x:c r="A58" s="3" t="s">
        <x:v>478</x:v>
      </x:c>
      <x:c r="B58" s="3" t="s">
        <x:v>262</x:v>
      </x:c>
      <x:c r="C58" s="3" t="s">
        <x:v>479</x:v>
      </x:c>
      <x:c r="D58" s="3" t="s">
        <x:v>480</x:v>
      </x:c>
      <x:c r="E58" s="3" t="s">
        <x:v>481</x:v>
      </x:c>
      <x:c r="F58" s="3" t="s">
        <x:v>70</x:v>
      </x:c>
      <x:c r="G58" s="3" t="s">
        <x:v>482</x:v>
      </x:c>
      <x:c r="H58" s="3" t="s">
        <x:v>483</x:v>
      </x:c>
      <x:c r="I58" s="3"/>
      <x:c r="J58" s="3" t="s">
        <x:v>291</x:v>
      </x:c>
      <x:c r="K58" s="3"/>
      <x:c r="L58" s="3" t="s">
        <x:v>484</x:v>
      </x:c>
      <x:c r="M58" s="3" t="s">
        <x:v>12</x:v>
      </x:c>
      <x:c r="N58" s="3"/>
      <x:c r="O58" s="3"/>
      <x:c r="P58" s="3"/>
      <x:c r="Q58" s="3"/>
      <x:c r="R58" s="3"/>
    </x:row>
    <x:row r="59" ht="70" customHeight="1">
      <x:c r="A59" s="3" t="s">
        <x:v>485</x:v>
      </x:c>
      <x:c r="B59" s="3" t="s">
        <x:v>262</x:v>
      </x:c>
      <x:c r="C59" s="3" t="s">
        <x:v>486</x:v>
      </x:c>
      <x:c r="D59" s="3" t="s">
        <x:v>487</x:v>
      </x:c>
      <x:c r="E59" s="3" t="s">
        <x:v>488</x:v>
      </x:c>
      <x:c r="F59" s="3" t="s">
        <x:v>347</x:v>
      </x:c>
      <x:c r="G59" s="3" t="s">
        <x:v>489</x:v>
      </x:c>
      <x:c r="H59" s="3" t="s">
        <x:v>490</x:v>
      </x:c>
      <x:c r="I59" s="3"/>
      <x:c r="J59" s="3" t="s">
        <x:v>291</x:v>
      </x:c>
      <x:c r="K59" s="3"/>
      <x:c r="L59" s="3" t="s">
        <x:v>491</x:v>
      </x:c>
      <x:c r="M59" s="3" t="s">
        <x:v>12</x:v>
      </x:c>
      <x:c r="N59" s="3"/>
      <x:c r="O59" s="3"/>
      <x:c r="P59" s="3"/>
      <x:c r="Q59" s="3"/>
      <x:c r="R59" s="3"/>
    </x:row>
    <x:row r="60" ht="70" customHeight="1">
      <x:c r="A60" s="3" t="s">
        <x:v>492</x:v>
      </x:c>
      <x:c r="B60" s="3" t="s">
        <x:v>493</x:v>
      </x:c>
      <x:c r="C60" s="3" t="s">
        <x:v>494</x:v>
      </x:c>
      <x:c r="D60" s="3" t="s">
        <x:v>495</x:v>
      </x:c>
      <x:c r="E60" s="3" t="s">
        <x:v>496</x:v>
      </x:c>
      <x:c r="F60" s="3" t="s">
        <x:v>58</x:v>
      </x:c>
      <x:c r="G60" s="3" t="s">
        <x:v>497</x:v>
      </x:c>
      <x:c r="H60" s="3" t="s">
        <x:v>498</x:v>
      </x:c>
      <x:c r="I60" s="3"/>
      <x:c r="J60" s="3" t="s">
        <x:v>499</x:v>
      </x:c>
      <x:c r="K60" s="3" t="s">
        <x:v>500</x:v>
      </x:c>
      <x:c r="L60" s="3" t="s">
        <x:v>501</x:v>
      </x:c>
      <x:c r="M60" s="3" t="s">
        <x:v>12</x:v>
      </x:c>
      <x:c r="N60" s="3"/>
      <x:c r="O60" s="3"/>
      <x:c r="P60" s="3"/>
      <x:c r="Q60" s="3"/>
      <x:c r="R60" s="3"/>
    </x:row>
    <x:row r="61" ht="70" customHeight="1">
      <x:c r="A61" s="3" t="s">
        <x:v>502</x:v>
      </x:c>
      <x:c r="B61" s="3" t="s">
        <x:v>493</x:v>
      </x:c>
      <x:c r="C61" s="3" t="s">
        <x:v>503</x:v>
      </x:c>
      <x:c r="D61" s="3" t="s">
        <x:v>504</x:v>
      </x:c>
      <x:c r="E61" s="3" t="s">
        <x:v>505</x:v>
      </x:c>
      <x:c r="F61" s="3" t="s">
        <x:v>58</x:v>
      </x:c>
      <x:c r="G61" s="3" t="s">
        <x:v>506</x:v>
      </x:c>
      <x:c r="H61" s="3" t="s">
        <x:v>507</x:v>
      </x:c>
      <x:c r="I61" s="3"/>
      <x:c r="J61" s="3" t="s">
        <x:v>499</x:v>
      </x:c>
      <x:c r="K61" s="3" t="s">
        <x:v>500</x:v>
      </x:c>
      <x:c r="L61" s="3" t="s">
        <x:v>508</x:v>
      </x:c>
      <x:c r="M61" s="3" t="s">
        <x:v>12</x:v>
      </x:c>
      <x:c r="N61" s="3"/>
      <x:c r="O61" s="3"/>
      <x:c r="P61" s="3"/>
      <x:c r="Q61" s="3"/>
      <x:c r="R61" s="3"/>
    </x:row>
    <x:row r="62" ht="70" customHeight="1">
      <x:c r="A62" s="3" t="s">
        <x:v>509</x:v>
      </x:c>
      <x:c r="B62" s="3" t="s">
        <x:v>493</x:v>
      </x:c>
      <x:c r="C62" s="3" t="s">
        <x:v>510</x:v>
      </x:c>
      <x:c r="D62" s="3" t="s">
        <x:v>511</x:v>
      </x:c>
      <x:c r="E62" s="3" t="s">
        <x:v>512</x:v>
      </x:c>
      <x:c r="F62" s="3" t="s">
        <x:v>58</x:v>
      </x:c>
      <x:c r="G62" s="3" t="s">
        <x:v>513</x:v>
      </x:c>
      <x:c r="H62" s="3" t="s">
        <x:v>514</x:v>
      </x:c>
      <x:c r="I62" s="3"/>
      <x:c r="J62" s="3" t="s">
        <x:v>499</x:v>
      </x:c>
      <x:c r="K62" s="3" t="s">
        <x:v>500</x:v>
      </x:c>
      <x:c r="L62" s="3" t="s">
        <x:v>515</x:v>
      </x:c>
      <x:c r="M62" s="3" t="s">
        <x:v>12</x:v>
      </x:c>
      <x:c r="N62" s="3"/>
      <x:c r="O62" s="3"/>
      <x:c r="P62" s="3"/>
      <x:c r="Q62" s="3"/>
      <x:c r="R62" s="3"/>
    </x:row>
    <x:row r="63" ht="70" customHeight="1">
      <x:c r="A63" s="3" t="s">
        <x:v>516</x:v>
      </x:c>
      <x:c r="B63" s="3" t="s">
        <x:v>493</x:v>
      </x:c>
      <x:c r="C63" s="3" t="s">
        <x:v>517</x:v>
      </x:c>
      <x:c r="D63" s="3" t="s">
        <x:v>518</x:v>
      </x:c>
      <x:c r="E63" s="3" t="s">
        <x:v>519</x:v>
      </x:c>
      <x:c r="F63" s="3" t="s">
        <x:v>58</x:v>
      </x:c>
      <x:c r="G63" s="3" t="s">
        <x:v>520</x:v>
      </x:c>
      <x:c r="H63" s="3" t="s">
        <x:v>521</x:v>
      </x:c>
      <x:c r="I63" s="3"/>
      <x:c r="J63" s="3" t="s">
        <x:v>499</x:v>
      </x:c>
      <x:c r="K63" s="3" t="s">
        <x:v>500</x:v>
      </x:c>
      <x:c r="L63" s="3" t="s">
        <x:v>522</x:v>
      </x:c>
      <x:c r="M63" s="3" t="s">
        <x:v>12</x:v>
      </x:c>
      <x:c r="N63" s="3"/>
      <x:c r="O63" s="3"/>
      <x:c r="P63" s="3"/>
      <x:c r="Q63" s="3"/>
      <x:c r="R63" s="3"/>
    </x:row>
    <x:row r="64" ht="70" customHeight="1">
      <x:c r="A64" s="3" t="s">
        <x:v>523</x:v>
      </x:c>
      <x:c r="B64" s="3" t="s">
        <x:v>493</x:v>
      </x:c>
      <x:c r="C64" s="3" t="s">
        <x:v>524</x:v>
      </x:c>
      <x:c r="D64" s="3" t="s">
        <x:v>525</x:v>
      </x:c>
      <x:c r="E64" s="3" t="s">
        <x:v>526</x:v>
      </x:c>
      <x:c r="F64" s="3" t="s">
        <x:v>58</x:v>
      </x:c>
      <x:c r="G64" s="3" t="s">
        <x:v>527</x:v>
      </x:c>
      <x:c r="H64" s="3" t="s">
        <x:v>528</x:v>
      </x:c>
      <x:c r="I64" s="3"/>
      <x:c r="J64" s="3" t="s">
        <x:v>499</x:v>
      </x:c>
      <x:c r="K64" s="3" t="s">
        <x:v>500</x:v>
      </x:c>
      <x:c r="L64" s="3" t="s">
        <x:v>529</x:v>
      </x:c>
      <x:c r="M64" s="3" t="s">
        <x:v>12</x:v>
      </x:c>
      <x:c r="N64" s="3"/>
      <x:c r="O64" s="3"/>
      <x:c r="P64" s="3"/>
      <x:c r="Q64" s="3"/>
      <x:c r="R64" s="3"/>
    </x:row>
    <x:row r="65" ht="70" customHeight="1">
      <x:c r="A65" s="3" t="s">
        <x:v>530</x:v>
      </x:c>
      <x:c r="B65" s="3" t="s">
        <x:v>493</x:v>
      </x:c>
      <x:c r="C65" s="3" t="s">
        <x:v>531</x:v>
      </x:c>
      <x:c r="D65" s="3" t="s">
        <x:v>532</x:v>
      </x:c>
      <x:c r="E65" s="3" t="s">
        <x:v>533</x:v>
      </x:c>
      <x:c r="F65" s="3" t="s">
        <x:v>58</x:v>
      </x:c>
      <x:c r="G65" s="3" t="s">
        <x:v>513</x:v>
      </x:c>
      <x:c r="H65" s="3" t="s">
        <x:v>534</x:v>
      </x:c>
      <x:c r="I65" s="3"/>
      <x:c r="J65" s="3" t="s">
        <x:v>499</x:v>
      </x:c>
      <x:c r="K65" s="3" t="s">
        <x:v>500</x:v>
      </x:c>
      <x:c r="L65" s="3" t="s">
        <x:v>535</x:v>
      </x:c>
      <x:c r="M65" s="3" t="s">
        <x:v>12</x:v>
      </x:c>
      <x:c r="N65" s="3"/>
      <x:c r="O65" s="3"/>
      <x:c r="P65" s="3"/>
      <x:c r="Q65" s="3"/>
      <x:c r="R65" s="3"/>
    </x:row>
    <x:row r="66" ht="70" customHeight="1">
      <x:c r="A66" s="3" t="s">
        <x:v>536</x:v>
      </x:c>
      <x:c r="B66" s="3" t="s">
        <x:v>493</x:v>
      </x:c>
      <x:c r="C66" s="3" t="s">
        <x:v>537</x:v>
      </x:c>
      <x:c r="D66" s="3" t="s">
        <x:v>538</x:v>
      </x:c>
      <x:c r="E66" s="3" t="s">
        <x:v>539</x:v>
      </x:c>
      <x:c r="F66" s="3" t="s">
        <x:v>58</x:v>
      </x:c>
      <x:c r="G66" s="3" t="s">
        <x:v>540</x:v>
      </x:c>
      <x:c r="H66" s="3" t="s">
        <x:v>541</x:v>
      </x:c>
      <x:c r="I66" s="3"/>
      <x:c r="J66" s="3" t="s">
        <x:v>499</x:v>
      </x:c>
      <x:c r="K66" s="3" t="s">
        <x:v>500</x:v>
      </x:c>
      <x:c r="L66" s="3" t="s">
        <x:v>542</x:v>
      </x:c>
      <x:c r="M66" s="3" t="s">
        <x:v>12</x:v>
      </x:c>
      <x:c r="N66" s="3"/>
      <x:c r="O66" s="3"/>
      <x:c r="P66" s="3"/>
      <x:c r="Q66" s="3"/>
      <x:c r="R66" s="3"/>
    </x:row>
    <x:row r="67" ht="70" customHeight="1">
      <x:c r="A67" s="3" t="s">
        <x:v>543</x:v>
      </x:c>
      <x:c r="B67" s="3" t="s">
        <x:v>493</x:v>
      </x:c>
      <x:c r="C67" s="3" t="s">
        <x:v>544</x:v>
      </x:c>
      <x:c r="D67" s="3" t="s">
        <x:v>545</x:v>
      </x:c>
      <x:c r="E67" s="3" t="s">
        <x:v>546</x:v>
      </x:c>
      <x:c r="F67" s="3" t="s">
        <x:v>58</x:v>
      </x:c>
      <x:c r="G67" s="3" t="s">
        <x:v>547</x:v>
      </x:c>
      <x:c r="H67" s="3" t="s">
        <x:v>548</x:v>
      </x:c>
      <x:c r="I67" s="3"/>
      <x:c r="J67" s="3" t="s">
        <x:v>499</x:v>
      </x:c>
      <x:c r="K67" s="3" t="s">
        <x:v>500</x:v>
      </x:c>
      <x:c r="L67" s="3" t="s">
        <x:v>549</x:v>
      </x:c>
      <x:c r="M67" s="3" t="s">
        <x:v>12</x:v>
      </x:c>
      <x:c r="N67" s="3"/>
      <x:c r="O67" s="3"/>
      <x:c r="P67" s="3"/>
      <x:c r="Q67" s="3"/>
      <x:c r="R67" s="3"/>
    </x:row>
    <x:row r="68" ht="70" customHeight="1">
      <x:c r="A68" s="3" t="s">
        <x:v>550</x:v>
      </x:c>
      <x:c r="B68" s="3" t="s">
        <x:v>493</x:v>
      </x:c>
      <x:c r="C68" s="3" t="s">
        <x:v>551</x:v>
      </x:c>
      <x:c r="D68" s="3" t="s">
        <x:v>552</x:v>
      </x:c>
      <x:c r="E68" s="3" t="s">
        <x:v>553</x:v>
      </x:c>
      <x:c r="F68" s="3" t="s">
        <x:v>58</x:v>
      </x:c>
      <x:c r="G68" s="3" t="s">
        <x:v>554</x:v>
      </x:c>
      <x:c r="H68" s="3" t="s">
        <x:v>555</x:v>
      </x:c>
      <x:c r="I68" s="3"/>
      <x:c r="J68" s="3" t="s">
        <x:v>499</x:v>
      </x:c>
      <x:c r="K68" s="3" t="s">
        <x:v>500</x:v>
      </x:c>
      <x:c r="L68" s="3" t="s">
        <x:v>556</x:v>
      </x:c>
      <x:c r="M68" s="3" t="s">
        <x:v>12</x:v>
      </x:c>
      <x:c r="N68" s="3"/>
      <x:c r="O68" s="3"/>
      <x:c r="P68" s="3"/>
      <x:c r="Q68" s="3"/>
      <x:c r="R68" s="3"/>
    </x:row>
    <x:row r="69" ht="70" customHeight="1">
      <x:c r="A69" s="3" t="s">
        <x:v>557</x:v>
      </x:c>
      <x:c r="B69" s="3" t="s">
        <x:v>493</x:v>
      </x:c>
      <x:c r="C69" s="3" t="s">
        <x:v>558</x:v>
      </x:c>
      <x:c r="D69" s="3"/>
      <x:c r="E69" s="3" t="s">
        <x:v>559</x:v>
      </x:c>
      <x:c r="F69" s="3" t="s">
        <x:v>58</x:v>
      </x:c>
      <x:c r="G69" s="3" t="s">
        <x:v>520</x:v>
      </x:c>
      <x:c r="H69" s="3" t="s">
        <x:v>560</x:v>
      </x:c>
      <x:c r="I69" s="3"/>
      <x:c r="J69" s="3" t="s">
        <x:v>561</x:v>
      </x:c>
      <x:c r="K69" s="3" t="s">
        <x:v>500</x:v>
      </x:c>
      <x:c r="L69" s="3" t="s">
        <x:v>562</x:v>
      </x:c>
      <x:c r="M69" s="3" t="s">
        <x:v>12</x:v>
      </x:c>
      <x:c r="N69" s="3"/>
      <x:c r="O69" s="3"/>
      <x:c r="P69" s="3"/>
      <x:c r="Q69" s="3"/>
      <x:c r="R69" s="3"/>
    </x:row>
    <x:row r="70" ht="70" customHeight="1">
      <x:c r="A70" s="3" t="s">
        <x:v>563</x:v>
      </x:c>
      <x:c r="B70" s="3" t="s">
        <x:v>493</x:v>
      </x:c>
      <x:c r="C70" s="3" t="s">
        <x:v>564</x:v>
      </x:c>
      <x:c r="D70" s="3"/>
      <x:c r="E70" s="3" t="s">
        <x:v>565</x:v>
      </x:c>
      <x:c r="F70" s="3" t="s">
        <x:v>58</x:v>
      </x:c>
      <x:c r="G70" s="3" t="s">
        <x:v>520</x:v>
      </x:c>
      <x:c r="H70" s="3" t="s">
        <x:v>566</x:v>
      </x:c>
      <x:c r="I70" s="3"/>
      <x:c r="J70" s="3" t="s">
        <x:v>561</x:v>
      </x:c>
      <x:c r="K70" s="3" t="s">
        <x:v>500</x:v>
      </x:c>
      <x:c r="L70" s="3" t="s">
        <x:v>567</x:v>
      </x:c>
      <x:c r="M70" s="3" t="s">
        <x:v>12</x:v>
      </x:c>
      <x:c r="N70" s="3"/>
      <x:c r="O70" s="3"/>
      <x:c r="P70" s="3"/>
      <x:c r="Q70" s="3"/>
      <x:c r="R70" s="3"/>
    </x:row>
    <x:row r="71" ht="70" customHeight="1">
      <x:c r="A71" s="3" t="s">
        <x:v>568</x:v>
      </x:c>
      <x:c r="B71" s="3" t="s">
        <x:v>493</x:v>
      </x:c>
      <x:c r="C71" s="3" t="s">
        <x:v>569</x:v>
      </x:c>
      <x:c r="D71" s="3" t="s">
        <x:v>570</x:v>
      </x:c>
      <x:c r="E71" s="3" t="s">
        <x:v>571</x:v>
      </x:c>
      <x:c r="F71" s="3" t="s">
        <x:v>58</x:v>
      </x:c>
      <x:c r="G71" s="3" t="s">
        <x:v>572</x:v>
      </x:c>
      <x:c r="H71" s="3" t="s">
        <x:v>573</x:v>
      </x:c>
      <x:c r="I71" s="3"/>
      <x:c r="J71" s="3" t="s">
        <x:v>499</x:v>
      </x:c>
      <x:c r="K71" s="3" t="s">
        <x:v>500</x:v>
      </x:c>
      <x:c r="L71" s="3" t="s">
        <x:v>574</x:v>
      </x:c>
      <x:c r="M71" s="3" t="s">
        <x:v>12</x:v>
      </x:c>
      <x:c r="N71" s="3"/>
      <x:c r="O71" s="3"/>
      <x:c r="P71" s="3"/>
      <x:c r="Q71" s="3"/>
      <x:c r="R71" s="3"/>
    </x:row>
    <x:row r="72" ht="70" customHeight="1">
      <x:c r="A72" s="3" t="s">
        <x:v>575</x:v>
      </x:c>
      <x:c r="B72" s="3" t="s">
        <x:v>493</x:v>
      </x:c>
      <x:c r="C72" s="3" t="s">
        <x:v>576</x:v>
      </x:c>
      <x:c r="D72" s="3" t="s">
        <x:v>577</x:v>
      </x:c>
      <x:c r="E72" s="3" t="s">
        <x:v>578</x:v>
      </x:c>
      <x:c r="F72" s="3" t="s">
        <x:v>58</x:v>
      </x:c>
      <x:c r="G72" s="3" t="s">
        <x:v>579</x:v>
      </x:c>
      <x:c r="H72" s="3" t="s">
        <x:v>580</x:v>
      </x:c>
      <x:c r="I72" s="3"/>
      <x:c r="J72" s="3" t="s">
        <x:v>499</x:v>
      </x:c>
      <x:c r="K72" s="3" t="s">
        <x:v>500</x:v>
      </x:c>
      <x:c r="L72" s="3" t="s">
        <x:v>581</x:v>
      </x:c>
      <x:c r="M72" s="3" t="s">
        <x:v>12</x:v>
      </x:c>
      <x:c r="N72" s="3"/>
      <x:c r="O72" s="3"/>
      <x:c r="P72" s="3"/>
      <x:c r="Q72" s="3"/>
      <x:c r="R72" s="3"/>
    </x:row>
    <x:row r="73" ht="70" customHeight="1">
      <x:c r="A73" s="3" t="s">
        <x:v>582</x:v>
      </x:c>
      <x:c r="B73" s="3" t="s">
        <x:v>493</x:v>
      </x:c>
      <x:c r="C73" s="3" t="s">
        <x:v>583</x:v>
      </x:c>
      <x:c r="D73" s="3" t="s">
        <x:v>584</x:v>
      </x:c>
      <x:c r="E73" s="3" t="s">
        <x:v>585</x:v>
      </x:c>
      <x:c r="F73" s="3" t="s">
        <x:v>58</x:v>
      </x:c>
      <x:c r="G73" s="3" t="s">
        <x:v>579</x:v>
      </x:c>
      <x:c r="H73" s="3" t="s">
        <x:v>586</x:v>
      </x:c>
      <x:c r="I73" s="3"/>
      <x:c r="J73" s="3" t="s">
        <x:v>499</x:v>
      </x:c>
      <x:c r="K73" s="3" t="s">
        <x:v>500</x:v>
      </x:c>
      <x:c r="L73" s="3" t="s">
        <x:v>587</x:v>
      </x:c>
      <x:c r="M73" s="3" t="s">
        <x:v>12</x:v>
      </x:c>
      <x:c r="N73" s="3"/>
      <x:c r="O73" s="3"/>
      <x:c r="P73" s="3"/>
      <x:c r="Q73" s="3"/>
      <x:c r="R73" s="3"/>
    </x:row>
    <x:row r="74" ht="70" customHeight="1">
      <x:c r="A74" s="3" t="s">
        <x:v>588</x:v>
      </x:c>
      <x:c r="B74" s="3" t="s">
        <x:v>493</x:v>
      </x:c>
      <x:c r="C74" s="3" t="s">
        <x:v>589</x:v>
      </x:c>
      <x:c r="D74" s="3" t="s">
        <x:v>590</x:v>
      </x:c>
      <x:c r="E74" s="3" t="s">
        <x:v>591</x:v>
      </x:c>
      <x:c r="F74" s="3" t="s">
        <x:v>58</x:v>
      </x:c>
      <x:c r="G74" s="3" t="s">
        <x:v>579</x:v>
      </x:c>
      <x:c r="H74" s="3" t="s">
        <x:v>592</x:v>
      </x:c>
      <x:c r="I74" s="3"/>
      <x:c r="J74" s="3" t="s">
        <x:v>499</x:v>
      </x:c>
      <x:c r="K74" s="3" t="s">
        <x:v>500</x:v>
      </x:c>
      <x:c r="L74" s="3" t="s">
        <x:v>593</x:v>
      </x:c>
      <x:c r="M74" s="3" t="s">
        <x:v>12</x:v>
      </x:c>
      <x:c r="N74" s="3"/>
      <x:c r="O74" s="3"/>
      <x:c r="P74" s="3"/>
      <x:c r="Q74" s="3"/>
      <x:c r="R74" s="3"/>
    </x:row>
    <x:row r="75" ht="70" customHeight="1">
      <x:c r="A75" s="3" t="s">
        <x:v>594</x:v>
      </x:c>
      <x:c r="B75" s="3" t="s">
        <x:v>493</x:v>
      </x:c>
      <x:c r="C75" s="3" t="s">
        <x:v>595</x:v>
      </x:c>
      <x:c r="D75" s="3" t="s">
        <x:v>596</x:v>
      </x:c>
      <x:c r="E75" s="3" t="s">
        <x:v>597</x:v>
      </x:c>
      <x:c r="F75" s="3" t="s">
        <x:v>58</x:v>
      </x:c>
      <x:c r="G75" s="3" t="s">
        <x:v>598</x:v>
      </x:c>
      <x:c r="H75" s="3" t="s">
        <x:v>599</x:v>
      </x:c>
      <x:c r="I75" s="3"/>
      <x:c r="J75" s="3" t="s">
        <x:v>499</x:v>
      </x:c>
      <x:c r="K75" s="3" t="s">
        <x:v>500</x:v>
      </x:c>
      <x:c r="L75" s="3" t="s">
        <x:v>600</x:v>
      </x:c>
      <x:c r="M75" s="3" t="s">
        <x:v>12</x:v>
      </x:c>
      <x:c r="N75" s="3"/>
      <x:c r="O75" s="3"/>
      <x:c r="P75" s="3"/>
      <x:c r="Q75" s="3"/>
      <x:c r="R75" s="3"/>
    </x:row>
    <x:row r="76" ht="70" customHeight="1">
      <x:c r="A76" s="3" t="s">
        <x:v>601</x:v>
      </x:c>
      <x:c r="B76" s="3" t="s">
        <x:v>493</x:v>
      </x:c>
      <x:c r="C76" s="3" t="s">
        <x:v>602</x:v>
      </x:c>
      <x:c r="D76" s="3" t="s">
        <x:v>603</x:v>
      </x:c>
      <x:c r="E76" s="3" t="s">
        <x:v>604</x:v>
      </x:c>
      <x:c r="F76" s="3" t="s">
        <x:v>58</x:v>
      </x:c>
      <x:c r="G76" s="3" t="s">
        <x:v>605</x:v>
      </x:c>
      <x:c r="H76" s="3" t="s">
        <x:v>606</x:v>
      </x:c>
      <x:c r="I76" s="3"/>
      <x:c r="J76" s="3" t="s">
        <x:v>499</x:v>
      </x:c>
      <x:c r="K76" s="3" t="s">
        <x:v>500</x:v>
      </x:c>
      <x:c r="L76" s="3" t="s">
        <x:v>607</x:v>
      </x:c>
      <x:c r="M76" s="3" t="s">
        <x:v>12</x:v>
      </x:c>
      <x:c r="N76" s="3"/>
      <x:c r="O76" s="3"/>
      <x:c r="P76" s="3"/>
      <x:c r="Q76" s="3"/>
      <x:c r="R76" s="3"/>
    </x:row>
    <x:row r="77" ht="70" customHeight="1">
      <x:c r="A77" s="3" t="s">
        <x:v>608</x:v>
      </x:c>
      <x:c r="B77" s="3" t="s">
        <x:v>493</x:v>
      </x:c>
      <x:c r="C77" s="3" t="s">
        <x:v>609</x:v>
      </x:c>
      <x:c r="D77" s="3" t="s">
        <x:v>610</x:v>
      </x:c>
      <x:c r="E77" s="3" t="s">
        <x:v>611</x:v>
      </x:c>
      <x:c r="F77" s="3" t="s">
        <x:v>58</x:v>
      </x:c>
      <x:c r="G77" s="3" t="s">
        <x:v>612</x:v>
      </x:c>
      <x:c r="H77" s="3" t="s">
        <x:v>613</x:v>
      </x:c>
      <x:c r="I77" s="3"/>
      <x:c r="J77" s="3" t="s">
        <x:v>499</x:v>
      </x:c>
      <x:c r="K77" s="3" t="s">
        <x:v>500</x:v>
      </x:c>
      <x:c r="L77" s="3" t="s">
        <x:v>614</x:v>
      </x:c>
      <x:c r="M77" s="3" t="s">
        <x:v>12</x:v>
      </x:c>
      <x:c r="N77" s="3"/>
      <x:c r="O77" s="3"/>
      <x:c r="P77" s="3"/>
      <x:c r="Q77" s="3"/>
      <x:c r="R77" s="3"/>
    </x:row>
    <x:row r="78" ht="70" customHeight="1">
      <x:c r="A78" s="3" t="s">
        <x:v>615</x:v>
      </x:c>
      <x:c r="B78" s="3" t="s">
        <x:v>493</x:v>
      </x:c>
      <x:c r="C78" s="3" t="s">
        <x:v>616</x:v>
      </x:c>
      <x:c r="D78" s="3" t="s">
        <x:v>617</x:v>
      </x:c>
      <x:c r="E78" s="3" t="s">
        <x:v>618</x:v>
      </x:c>
      <x:c r="F78" s="3" t="s">
        <x:v>58</x:v>
      </x:c>
      <x:c r="G78" s="3" t="s">
        <x:v>619</x:v>
      </x:c>
      <x:c r="H78" s="3" t="s">
        <x:v>620</x:v>
      </x:c>
      <x:c r="I78" s="3"/>
      <x:c r="J78" s="3" t="s">
        <x:v>499</x:v>
      </x:c>
      <x:c r="K78" s="3" t="s">
        <x:v>500</x:v>
      </x:c>
      <x:c r="L78" s="3" t="s">
        <x:v>621</x:v>
      </x:c>
      <x:c r="M78" s="3" t="s">
        <x:v>12</x:v>
      </x:c>
      <x:c r="N78" s="3"/>
      <x:c r="O78" s="3"/>
      <x:c r="P78" s="3"/>
      <x:c r="Q78" s="3"/>
      <x:c r="R78" s="3"/>
    </x:row>
    <x:row r="79" ht="70" customHeight="1">
      <x:c r="A79" s="3" t="s">
        <x:v>622</x:v>
      </x:c>
      <x:c r="B79" s="3" t="s">
        <x:v>493</x:v>
      </x:c>
      <x:c r="C79" s="3" t="s">
        <x:v>623</x:v>
      </x:c>
      <x:c r="D79" s="3" t="s">
        <x:v>624</x:v>
      </x:c>
      <x:c r="E79" s="3" t="s">
        <x:v>625</x:v>
      </x:c>
      <x:c r="F79" s="3" t="s">
        <x:v>58</x:v>
      </x:c>
      <x:c r="G79" s="3" t="s">
        <x:v>626</x:v>
      </x:c>
      <x:c r="H79" s="3" t="s">
        <x:v>627</x:v>
      </x:c>
      <x:c r="I79" s="3"/>
      <x:c r="J79" s="3" t="s">
        <x:v>499</x:v>
      </x:c>
      <x:c r="K79" s="3" t="s">
        <x:v>500</x:v>
      </x:c>
      <x:c r="L79" s="3" t="s">
        <x:v>628</x:v>
      </x:c>
      <x:c r="M79" s="3" t="s">
        <x:v>12</x:v>
      </x:c>
      <x:c r="N79" s="3"/>
      <x:c r="O79" s="3"/>
      <x:c r="P79" s="3"/>
      <x:c r="Q79" s="3"/>
      <x:c r="R79" s="3"/>
    </x:row>
    <x:row r="80" ht="70" customHeight="1">
      <x:c r="A80" s="3" t="s">
        <x:v>629</x:v>
      </x:c>
      <x:c r="B80" s="3" t="s">
        <x:v>493</x:v>
      </x:c>
      <x:c r="C80" s="3" t="s">
        <x:v>630</x:v>
      </x:c>
      <x:c r="D80" s="3" t="s">
        <x:v>631</x:v>
      </x:c>
      <x:c r="E80" s="3" t="s">
        <x:v>632</x:v>
      </x:c>
      <x:c r="F80" s="3" t="s">
        <x:v>58</x:v>
      </x:c>
      <x:c r="G80" s="3" t="s">
        <x:v>633</x:v>
      </x:c>
      <x:c r="H80" s="3" t="s">
        <x:v>634</x:v>
      </x:c>
      <x:c r="I80" s="3"/>
      <x:c r="J80" s="3" t="s">
        <x:v>499</x:v>
      </x:c>
      <x:c r="K80" s="3" t="s">
        <x:v>500</x:v>
      </x:c>
      <x:c r="L80" s="3" t="s">
        <x:v>635</x:v>
      </x:c>
      <x:c r="M80" s="3" t="s">
        <x:v>12</x:v>
      </x:c>
      <x:c r="N80" s="3"/>
      <x:c r="O80" s="3"/>
      <x:c r="P80" s="3"/>
      <x:c r="Q80" s="3"/>
      <x:c r="R80" s="3"/>
    </x:row>
    <x:row r="81" ht="70" customHeight="1">
      <x:c r="A81" s="3" t="s">
        <x:v>636</x:v>
      </x:c>
      <x:c r="B81" s="3" t="s">
        <x:v>493</x:v>
      </x:c>
      <x:c r="C81" s="3" t="s">
        <x:v>637</x:v>
      </x:c>
      <x:c r="D81" s="3" t="s">
        <x:v>638</x:v>
      </x:c>
      <x:c r="E81" s="3" t="s">
        <x:v>639</x:v>
      </x:c>
      <x:c r="F81" s="3" t="s">
        <x:v>58</x:v>
      </x:c>
      <x:c r="G81" s="3" t="s">
        <x:v>640</x:v>
      </x:c>
      <x:c r="H81" s="3" t="s">
        <x:v>641</x:v>
      </x:c>
      <x:c r="I81" s="3"/>
      <x:c r="J81" s="3" t="s">
        <x:v>499</x:v>
      </x:c>
      <x:c r="K81" s="3" t="s">
        <x:v>500</x:v>
      </x:c>
      <x:c r="L81" s="3" t="s">
        <x:v>642</x:v>
      </x:c>
      <x:c r="M81" s="3" t="s">
        <x:v>12</x:v>
      </x:c>
      <x:c r="N81" s="3"/>
      <x:c r="O81" s="3"/>
      <x:c r="P81" s="3"/>
      <x:c r="Q81" s="3"/>
      <x:c r="R81" s="3"/>
    </x:row>
    <x:row r="82" ht="70" customHeight="1">
      <x:c r="A82" s="3" t="s">
        <x:v>643</x:v>
      </x:c>
      <x:c r="B82" s="3" t="s">
        <x:v>493</x:v>
      </x:c>
      <x:c r="C82" s="3" t="s">
        <x:v>644</x:v>
      </x:c>
      <x:c r="D82" s="3" t="s">
        <x:v>645</x:v>
      </x:c>
      <x:c r="E82" s="3" t="s">
        <x:v>646</x:v>
      </x:c>
      <x:c r="F82" s="3" t="s">
        <x:v>58</x:v>
      </x:c>
      <x:c r="G82" s="3" t="s">
        <x:v>647</x:v>
      </x:c>
      <x:c r="H82" s="3" t="s">
        <x:v>648</x:v>
      </x:c>
      <x:c r="I82" s="3"/>
      <x:c r="J82" s="3" t="s">
        <x:v>499</x:v>
      </x:c>
      <x:c r="K82" s="3" t="s">
        <x:v>500</x:v>
      </x:c>
      <x:c r="L82" s="3" t="s">
        <x:v>649</x:v>
      </x:c>
      <x:c r="M82" s="3" t="s">
        <x:v>12</x:v>
      </x:c>
      <x:c r="N82" s="3"/>
      <x:c r="O82" s="3"/>
      <x:c r="P82" s="3"/>
      <x:c r="Q82" s="3"/>
      <x:c r="R82" s="3"/>
    </x:row>
    <x:row r="83" ht="70" customHeight="1">
      <x:c r="A83" s="3" t="s">
        <x:v>650</x:v>
      </x:c>
      <x:c r="B83" s="3" t="s">
        <x:v>651</x:v>
      </x:c>
      <x:c r="C83" s="3" t="s">
        <x:v>652</x:v>
      </x:c>
      <x:c r="D83" s="3" t="s">
        <x:v>653</x:v>
      </x:c>
      <x:c r="E83" s="3" t="s">
        <x:v>654</x:v>
      </x:c>
      <x:c r="F83" s="3" t="s">
        <x:v>58</x:v>
      </x:c>
      <x:c r="G83" s="3" t="s">
        <x:v>655</x:v>
      </x:c>
      <x:c r="H83" s="3" t="s">
        <x:v>656</x:v>
      </x:c>
      <x:c r="I83" s="3" t="s">
        <x:v>657</x:v>
      </x:c>
      <x:c r="J83" s="3" t="s">
        <x:v>658</x:v>
      </x:c>
      <x:c r="K83" s="3" t="s">
        <x:v>75</x:v>
      </x:c>
      <x:c r="L83" s="3" t="s">
        <x:v>659</x:v>
      </x:c>
      <x:c r="M83" s="3" t="s">
        <x:v>12</x:v>
      </x:c>
      <x:c r="N83" s="3"/>
      <x:c r="O83" s="3"/>
      <x:c r="P83" s="3"/>
      <x:c r="Q83" s="3"/>
      <x:c r="R83" s="3"/>
    </x:row>
    <x:row r="84" ht="70" customHeight="1">
      <x:c r="A84" s="3" t="s">
        <x:v>660</x:v>
      </x:c>
      <x:c r="B84" s="3" t="s">
        <x:v>651</x:v>
      </x:c>
      <x:c r="C84" s="3" t="s">
        <x:v>661</x:v>
      </x:c>
      <x:c r="D84" s="3" t="s">
        <x:v>662</x:v>
      </x:c>
      <x:c r="E84" s="3" t="s">
        <x:v>663</x:v>
      </x:c>
      <x:c r="F84" s="3" t="s">
        <x:v>58</x:v>
      </x:c>
      <x:c r="G84" s="3" t="s">
        <x:v>664</x:v>
      </x:c>
      <x:c r="H84" s="3" t="s">
        <x:v>665</x:v>
      </x:c>
      <x:c r="I84" s="3" t="s">
        <x:v>666</x:v>
      </x:c>
      <x:c r="J84" s="3" t="s">
        <x:v>667</x:v>
      </x:c>
      <x:c r="K84" s="3" t="s">
        <x:v>75</x:v>
      </x:c>
      <x:c r="L84" s="3" t="s">
        <x:v>668</x:v>
      </x:c>
      <x:c r="M84" s="3" t="s">
        <x:v>12</x:v>
      </x:c>
      <x:c r="N84" s="3"/>
      <x:c r="O84" s="3"/>
      <x:c r="P84" s="3"/>
      <x:c r="Q84" s="3"/>
      <x:c r="R84" s="3"/>
    </x:row>
    <x:row r="85" ht="70" customHeight="1">
      <x:c r="A85" s="3" t="s">
        <x:v>669</x:v>
      </x:c>
      <x:c r="B85" s="3" t="s">
        <x:v>651</x:v>
      </x:c>
      <x:c r="C85" s="3" t="s">
        <x:v>670</x:v>
      </x:c>
      <x:c r="D85" s="3" t="s">
        <x:v>671</x:v>
      </x:c>
      <x:c r="E85" s="3" t="s">
        <x:v>672</x:v>
      </x:c>
      <x:c r="F85" s="3" t="s">
        <x:v>58</x:v>
      </x:c>
      <x:c r="G85" s="3" t="s">
        <x:v>673</x:v>
      </x:c>
      <x:c r="H85" s="3" t="s">
        <x:v>674</x:v>
      </x:c>
      <x:c r="I85" s="3" t="s">
        <x:v>675</x:v>
      </x:c>
      <x:c r="J85" s="3" t="s">
        <x:v>658</x:v>
      </x:c>
      <x:c r="K85" s="3" t="s">
        <x:v>75</x:v>
      </x:c>
      <x:c r="L85" s="3" t="s">
        <x:v>676</x:v>
      </x:c>
      <x:c r="M85" s="3" t="s">
        <x:v>12</x:v>
      </x:c>
      <x:c r="N85" s="3"/>
      <x:c r="O85" s="3"/>
      <x:c r="P85" s="3"/>
      <x:c r="Q85" s="3"/>
      <x:c r="R85" s="3"/>
    </x:row>
    <x:row r="86" ht="70" customHeight="1">
      <x:c r="A86" s="3" t="s">
        <x:v>677</x:v>
      </x:c>
      <x:c r="B86" s="3" t="s">
        <x:v>651</x:v>
      </x:c>
      <x:c r="C86" s="3" t="s">
        <x:v>678</x:v>
      </x:c>
      <x:c r="D86" s="3" t="s">
        <x:v>679</x:v>
      </x:c>
      <x:c r="E86" s="3" t="s">
        <x:v>680</x:v>
      </x:c>
      <x:c r="F86" s="3" t="s">
        <x:v>58</x:v>
      </x:c>
      <x:c r="G86" s="3" t="s">
        <x:v>681</x:v>
      </x:c>
      <x:c r="H86" s="3" t="s">
        <x:v>682</x:v>
      </x:c>
      <x:c r="I86" s="3" t="s">
        <x:v>683</x:v>
      </x:c>
      <x:c r="J86" s="3" t="s">
        <x:v>658</x:v>
      </x:c>
      <x:c r="K86" s="3" t="s">
        <x:v>75</x:v>
      </x:c>
      <x:c r="L86" s="3" t="s">
        <x:v>684</x:v>
      </x:c>
      <x:c r="M86" s="3" t="s">
        <x:v>12</x:v>
      </x:c>
      <x:c r="N86" s="3"/>
      <x:c r="O86" s="3"/>
      <x:c r="P86" s="3"/>
      <x:c r="Q86" s="3"/>
      <x:c r="R86" s="3"/>
    </x:row>
    <x:row r="87" ht="70" customHeight="1">
      <x:c r="A87" s="3" t="s">
        <x:v>685</x:v>
      </x:c>
      <x:c r="B87" s="3" t="s">
        <x:v>651</x:v>
      </x:c>
      <x:c r="C87" s="3" t="s">
        <x:v>686</x:v>
      </x:c>
      <x:c r="D87" s="3" t="s">
        <x:v>687</x:v>
      </x:c>
      <x:c r="E87" s="3" t="s">
        <x:v>688</x:v>
      </x:c>
      <x:c r="F87" s="3" t="s">
        <x:v>58</x:v>
      </x:c>
      <x:c r="G87" s="3" t="s">
        <x:v>689</x:v>
      </x:c>
      <x:c r="H87" s="3" t="s">
        <x:v>690</x:v>
      </x:c>
      <x:c r="I87" s="3" t="s">
        <x:v>691</x:v>
      </x:c>
      <x:c r="J87" s="3" t="s">
        <x:v>692</x:v>
      </x:c>
      <x:c r="K87" s="3" t="s">
        <x:v>75</x:v>
      </x:c>
      <x:c r="L87" s="3" t="s">
        <x:v>693</x:v>
      </x:c>
      <x:c r="M87" s="3" t="s">
        <x:v>12</x:v>
      </x:c>
      <x:c r="N87" s="3"/>
      <x:c r="O87" s="3"/>
      <x:c r="P87" s="3"/>
      <x:c r="Q87" s="3"/>
      <x:c r="R87" s="3"/>
    </x:row>
    <x:row r="88" ht="70" customHeight="1">
      <x:c r="A88" s="3" t="s">
        <x:v>694</x:v>
      </x:c>
      <x:c r="B88" s="3" t="s">
        <x:v>651</x:v>
      </x:c>
      <x:c r="C88" s="3" t="s">
        <x:v>695</x:v>
      </x:c>
      <x:c r="D88" s="3" t="s">
        <x:v>696</x:v>
      </x:c>
      <x:c r="E88" s="3" t="s">
        <x:v>697</x:v>
      </x:c>
      <x:c r="F88" s="3" t="s">
        <x:v>58</x:v>
      </x:c>
      <x:c r="G88" s="3" t="s">
        <x:v>698</x:v>
      </x:c>
      <x:c r="H88" s="3" t="s">
        <x:v>699</x:v>
      </x:c>
      <x:c r="I88" s="3" t="s">
        <x:v>700</x:v>
      </x:c>
      <x:c r="J88" s="3" t="s">
        <x:v>701</x:v>
      </x:c>
      <x:c r="K88" s="3" t="s">
        <x:v>75</x:v>
      </x:c>
      <x:c r="L88" s="3" t="s">
        <x:v>702</x:v>
      </x:c>
      <x:c r="M88" s="3" t="s">
        <x:v>12</x:v>
      </x:c>
      <x:c r="N88" s="3"/>
      <x:c r="O88" s="3"/>
      <x:c r="P88" s="3"/>
      <x:c r="Q88" s="3"/>
      <x:c r="R88" s="3"/>
    </x:row>
    <x:row r="89" ht="70" customHeight="1">
      <x:c r="A89" s="3" t="s">
        <x:v>703</x:v>
      </x:c>
      <x:c r="B89" s="3" t="s">
        <x:v>651</x:v>
      </x:c>
      <x:c r="C89" s="3" t="s">
        <x:v>704</x:v>
      </x:c>
      <x:c r="D89" s="3" t="s">
        <x:v>705</x:v>
      </x:c>
      <x:c r="E89" s="3" t="s">
        <x:v>706</x:v>
      </x:c>
      <x:c r="F89" s="3" t="s">
        <x:v>58</x:v>
      </x:c>
      <x:c r="G89" s="3" t="s">
        <x:v>707</x:v>
      </x:c>
      <x:c r="H89" s="3" t="s">
        <x:v>708</x:v>
      </x:c>
      <x:c r="I89" s="3" t="s">
        <x:v>709</x:v>
      </x:c>
      <x:c r="J89" s="3" t="s">
        <x:v>658</x:v>
      </x:c>
      <x:c r="K89" s="3" t="s">
        <x:v>75</x:v>
      </x:c>
      <x:c r="L89" s="3" t="s">
        <x:v>710</x:v>
      </x:c>
      <x:c r="M89" s="3" t="s">
        <x:v>12</x:v>
      </x:c>
      <x:c r="N89" s="3"/>
      <x:c r="O89" s="3"/>
      <x:c r="P89" s="3"/>
      <x:c r="Q89" s="3"/>
      <x:c r="R89" s="3"/>
    </x:row>
    <x:row r="90" ht="70" customHeight="1">
      <x:c r="A90" s="3" t="s">
        <x:v>711</x:v>
      </x:c>
      <x:c r="B90" s="3" t="s">
        <x:v>651</x:v>
      </x:c>
      <x:c r="C90" s="3" t="s">
        <x:v>712</x:v>
      </x:c>
      <x:c r="D90" s="3"/>
      <x:c r="E90" s="3" t="s">
        <x:v>713</x:v>
      </x:c>
      <x:c r="F90" s="3" t="s">
        <x:v>58</x:v>
      </x:c>
      <x:c r="G90" s="3" t="s">
        <x:v>714</x:v>
      </x:c>
      <x:c r="H90" s="3" t="s">
        <x:v>715</x:v>
      </x:c>
      <x:c r="I90" s="3" t="s">
        <x:v>716</x:v>
      </x:c>
      <x:c r="J90" s="3" t="s">
        <x:v>658</x:v>
      </x:c>
      <x:c r="K90" s="3" t="s">
        <x:v>75</x:v>
      </x:c>
      <x:c r="L90" s="3" t="s">
        <x:v>717</x:v>
      </x:c>
      <x:c r="M90" s="3" t="s">
        <x:v>12</x:v>
      </x:c>
      <x:c r="N90" s="3"/>
      <x:c r="O90" s="3"/>
      <x:c r="P90" s="3"/>
      <x:c r="Q90" s="3"/>
      <x:c r="R90" s="3"/>
    </x:row>
    <x:row r="91" ht="70" customHeight="1">
      <x:c r="A91" s="3" t="s">
        <x:v>718</x:v>
      </x:c>
      <x:c r="B91" s="3" t="s">
        <x:v>651</x:v>
      </x:c>
      <x:c r="C91" s="3" t="s">
        <x:v>719</x:v>
      </x:c>
      <x:c r="D91" s="3" t="s">
        <x:v>720</x:v>
      </x:c>
      <x:c r="E91" s="3" t="s">
        <x:v>721</x:v>
      </x:c>
      <x:c r="F91" s="3" t="s">
        <x:v>58</x:v>
      </x:c>
      <x:c r="G91" s="3" t="s">
        <x:v>722</x:v>
      </x:c>
      <x:c r="H91" s="3" t="s">
        <x:v>723</x:v>
      </x:c>
      <x:c r="I91" s="3" t="s">
        <x:v>724</x:v>
      </x:c>
      <x:c r="J91" s="3" t="s">
        <x:v>658</x:v>
      </x:c>
      <x:c r="K91" s="3" t="s">
        <x:v>75</x:v>
      </x:c>
      <x:c r="L91" s="3" t="s">
        <x:v>725</x:v>
      </x:c>
      <x:c r="M91" s="3" t="s">
        <x:v>12</x:v>
      </x:c>
      <x:c r="N91" s="3"/>
      <x:c r="O91" s="3"/>
      <x:c r="P91" s="3"/>
      <x:c r="Q91" s="3"/>
      <x:c r="R91" s="3"/>
    </x:row>
    <x:row r="92" ht="70" customHeight="1">
      <x:c r="A92" s="3" t="s">
        <x:v>726</x:v>
      </x:c>
      <x:c r="B92" s="3" t="s">
        <x:v>651</x:v>
      </x:c>
      <x:c r="C92" s="3" t="s">
        <x:v>727</x:v>
      </x:c>
      <x:c r="D92" s="3" t="s">
        <x:v>728</x:v>
      </x:c>
      <x:c r="E92" s="3" t="s">
        <x:v>729</x:v>
      </x:c>
      <x:c r="F92" s="3" t="s">
        <x:v>58</x:v>
      </x:c>
      <x:c r="G92" s="3" t="s">
        <x:v>730</x:v>
      </x:c>
      <x:c r="H92" s="3" t="s">
        <x:v>731</x:v>
      </x:c>
      <x:c r="I92" s="3" t="s">
        <x:v>732</x:v>
      </x:c>
      <x:c r="J92" s="3" t="s">
        <x:v>733</x:v>
      </x:c>
      <x:c r="K92" s="3" t="s">
        <x:v>75</x:v>
      </x:c>
      <x:c r="L92" s="3" t="s">
        <x:v>734</x:v>
      </x:c>
      <x:c r="M92" s="3" t="s">
        <x:v>12</x:v>
      </x:c>
      <x:c r="N92" s="3"/>
      <x:c r="O92" s="3"/>
      <x:c r="P92" s="3"/>
      <x:c r="Q92" s="3"/>
      <x:c r="R92" s="3"/>
    </x:row>
    <x:row r="93" ht="70" customHeight="1">
      <x:c r="A93" s="3" t="s">
        <x:v>735</x:v>
      </x:c>
      <x:c r="B93" s="3" t="s">
        <x:v>651</x:v>
      </x:c>
      <x:c r="C93" s="3" t="s">
        <x:v>736</x:v>
      </x:c>
      <x:c r="D93" s="3" t="s">
        <x:v>737</x:v>
      </x:c>
      <x:c r="E93" s="3" t="s">
        <x:v>738</x:v>
      </x:c>
      <x:c r="F93" s="3" t="s">
        <x:v>58</x:v>
      </x:c>
      <x:c r="G93" s="3" t="s">
        <x:v>173</x:v>
      </x:c>
      <x:c r="H93" s="3" t="s">
        <x:v>739</x:v>
      </x:c>
      <x:c r="I93" s="3" t="s">
        <x:v>740</x:v>
      </x:c>
      <x:c r="J93" s="3" t="s">
        <x:v>658</x:v>
      </x:c>
      <x:c r="K93" s="3" t="s">
        <x:v>75</x:v>
      </x:c>
      <x:c r="L93" s="3" t="s">
        <x:v>741</x:v>
      </x:c>
      <x:c r="M93" s="3" t="s">
        <x:v>12</x:v>
      </x:c>
      <x:c r="N93" s="3"/>
      <x:c r="O93" s="3"/>
      <x:c r="P93" s="3"/>
      <x:c r="Q93" s="3"/>
      <x:c r="R93" s="3"/>
    </x:row>
    <x:row r="94" ht="70" customHeight="1">
      <x:c r="A94" s="3" t="s">
        <x:v>742</x:v>
      </x:c>
      <x:c r="B94" s="3" t="s">
        <x:v>651</x:v>
      </x:c>
      <x:c r="C94" s="3" t="s">
        <x:v>743</x:v>
      </x:c>
      <x:c r="D94" s="3" t="s">
        <x:v>744</x:v>
      </x:c>
      <x:c r="E94" s="3" t="s">
        <x:v>745</x:v>
      </x:c>
      <x:c r="F94" s="3" t="s">
        <x:v>58</x:v>
      </x:c>
      <x:c r="G94" s="3" t="s">
        <x:v>746</x:v>
      </x:c>
      <x:c r="H94" s="3" t="s">
        <x:v>747</x:v>
      </x:c>
      <x:c r="I94" s="3" t="s">
        <x:v>748</x:v>
      </x:c>
      <x:c r="J94" s="3" t="s">
        <x:v>658</x:v>
      </x:c>
      <x:c r="K94" s="3" t="s">
        <x:v>75</x:v>
      </x:c>
      <x:c r="L94" s="3" t="s">
        <x:v>749</x:v>
      </x:c>
      <x:c r="M94" s="3" t="s">
        <x:v>12</x:v>
      </x:c>
      <x:c r="N94" s="3"/>
      <x:c r="O94" s="3"/>
      <x:c r="P94" s="3"/>
      <x:c r="Q94" s="3"/>
      <x:c r="R94" s="3"/>
    </x:row>
    <x:row r="95" ht="70" customHeight="1">
      <x:c r="A95" s="3" t="s">
        <x:v>750</x:v>
      </x:c>
      <x:c r="B95" s="3" t="s">
        <x:v>651</x:v>
      </x:c>
      <x:c r="C95" s="3" t="s">
        <x:v>751</x:v>
      </x:c>
      <x:c r="D95" s="3" t="s">
        <x:v>752</x:v>
      </x:c>
      <x:c r="E95" s="3" t="s">
        <x:v>753</x:v>
      </x:c>
      <x:c r="F95" s="3" t="s">
        <x:v>58</x:v>
      </x:c>
      <x:c r="G95" s="3" t="s">
        <x:v>754</x:v>
      </x:c>
      <x:c r="H95" s="3" t="s">
        <x:v>755</x:v>
      </x:c>
      <x:c r="I95" s="3" t="s">
        <x:v>756</x:v>
      </x:c>
      <x:c r="J95" s="3" t="s">
        <x:v>757</x:v>
      </x:c>
      <x:c r="K95" s="3" t="s">
        <x:v>75</x:v>
      </x:c>
      <x:c r="L95" s="3" t="s">
        <x:v>758</x:v>
      </x:c>
      <x:c r="M95" s="3" t="s">
        <x:v>12</x:v>
      </x:c>
      <x:c r="N95" s="3"/>
      <x:c r="O95" s="3"/>
      <x:c r="P95" s="3"/>
      <x:c r="Q95" s="3"/>
      <x:c r="R95" s="3"/>
    </x:row>
    <x:row r="96" ht="70" customHeight="1">
      <x:c r="A96" s="3" t="s">
        <x:v>759</x:v>
      </x:c>
      <x:c r="B96" s="3" t="s">
        <x:v>651</x:v>
      </x:c>
      <x:c r="C96" s="3" t="s">
        <x:v>760</x:v>
      </x:c>
      <x:c r="D96" s="3" t="s">
        <x:v>761</x:v>
      </x:c>
      <x:c r="E96" s="3" t="s">
        <x:v>762</x:v>
      </x:c>
      <x:c r="F96" s="3" t="s">
        <x:v>58</x:v>
      </x:c>
      <x:c r="G96" s="3" t="s">
        <x:v>763</x:v>
      </x:c>
      <x:c r="H96" s="3" t="s">
        <x:v>764</x:v>
      </x:c>
      <x:c r="I96" s="3" t="s">
        <x:v>765</x:v>
      </x:c>
      <x:c r="J96" s="3" t="s">
        <x:v>658</x:v>
      </x:c>
      <x:c r="K96" s="3" t="s">
        <x:v>75</x:v>
      </x:c>
      <x:c r="L96" s="3" t="s">
        <x:v>766</x:v>
      </x:c>
      <x:c r="M96" s="3" t="s">
        <x:v>12</x:v>
      </x:c>
      <x:c r="N96" s="3"/>
      <x:c r="O96" s="3"/>
      <x:c r="P96" s="3"/>
      <x:c r="Q96" s="3"/>
      <x:c r="R96" s="3"/>
    </x:row>
    <x:row r="97" ht="70" customHeight="1">
      <x:c r="A97" s="3" t="s">
        <x:v>767</x:v>
      </x:c>
      <x:c r="B97" s="3" t="s">
        <x:v>651</x:v>
      </x:c>
      <x:c r="C97" s="3" t="s">
        <x:v>768</x:v>
      </x:c>
      <x:c r="D97" s="3" t="s">
        <x:v>769</x:v>
      </x:c>
      <x:c r="E97" s="3" t="s">
        <x:v>770</x:v>
      </x:c>
      <x:c r="F97" s="3" t="s">
        <x:v>58</x:v>
      </x:c>
      <x:c r="G97" s="3" t="s">
        <x:v>771</x:v>
      </x:c>
      <x:c r="H97" s="3" t="s">
        <x:v>772</x:v>
      </x:c>
      <x:c r="I97" s="3" t="s">
        <x:v>773</x:v>
      </x:c>
      <x:c r="J97" s="3" t="s">
        <x:v>774</x:v>
      </x:c>
      <x:c r="K97" s="3" t="s">
        <x:v>75</x:v>
      </x:c>
      <x:c r="L97" s="3" t="s">
        <x:v>775</x:v>
      </x:c>
      <x:c r="M97" s="3" t="s">
        <x:v>12</x:v>
      </x:c>
      <x:c r="N97" s="3"/>
      <x:c r="O97" s="3"/>
      <x:c r="P97" s="3"/>
      <x:c r="Q97" s="3"/>
      <x:c r="R97" s="3"/>
    </x:row>
    <x:row r="98" ht="70" customHeight="1">
      <x:c r="A98" s="3" t="s">
        <x:v>776</x:v>
      </x:c>
      <x:c r="B98" s="3" t="s">
        <x:v>651</x:v>
      </x:c>
      <x:c r="C98" s="3" t="s">
        <x:v>777</x:v>
      </x:c>
      <x:c r="D98" s="3" t="s">
        <x:v>778</x:v>
      </x:c>
      <x:c r="E98" s="3" t="s">
        <x:v>779</x:v>
      </x:c>
      <x:c r="F98" s="3" t="s">
        <x:v>58</x:v>
      </x:c>
      <x:c r="G98" s="3" t="s">
        <x:v>780</x:v>
      </x:c>
      <x:c r="H98" s="3" t="s">
        <x:v>781</x:v>
      </x:c>
      <x:c r="I98" s="3" t="s">
        <x:v>782</x:v>
      </x:c>
      <x:c r="J98" s="3" t="s">
        <x:v>783</x:v>
      </x:c>
      <x:c r="K98" s="3" t="s">
        <x:v>75</x:v>
      </x:c>
      <x:c r="L98" s="3" t="s">
        <x:v>784</x:v>
      </x:c>
      <x:c r="M98" s="3" t="s">
        <x:v>12</x:v>
      </x:c>
      <x:c r="N98" s="3"/>
      <x:c r="O98" s="3"/>
      <x:c r="P98" s="3"/>
      <x:c r="Q98" s="3"/>
      <x:c r="R98" s="3"/>
    </x:row>
    <x:row r="99" ht="70" customHeight="1">
      <x:c r="A99" s="3" t="s">
        <x:v>785</x:v>
      </x:c>
      <x:c r="B99" s="3" t="s">
        <x:v>651</x:v>
      </x:c>
      <x:c r="C99" s="3" t="s">
        <x:v>786</x:v>
      </x:c>
      <x:c r="D99" s="3" t="s">
        <x:v>787</x:v>
      </x:c>
      <x:c r="E99" s="3" t="s">
        <x:v>788</x:v>
      </x:c>
      <x:c r="F99" s="3" t="s">
        <x:v>58</x:v>
      </x:c>
      <x:c r="G99" s="3" t="s">
        <x:v>754</x:v>
      </x:c>
      <x:c r="H99" s="3" t="s">
        <x:v>789</x:v>
      </x:c>
      <x:c r="I99" s="3" t="s">
        <x:v>790</x:v>
      </x:c>
      <x:c r="J99" s="3" t="s">
        <x:v>658</x:v>
      </x:c>
      <x:c r="K99" s="3" t="s">
        <x:v>75</x:v>
      </x:c>
      <x:c r="L99" s="3" t="s">
        <x:v>791</x:v>
      </x:c>
      <x:c r="M99" s="3" t="s">
        <x:v>12</x:v>
      </x:c>
      <x:c r="N99" s="3"/>
      <x:c r="O99" s="3"/>
      <x:c r="P99" s="3"/>
      <x:c r="Q99" s="3"/>
      <x:c r="R99" s="3"/>
    </x:row>
    <x:row r="100" ht="70" customHeight="1">
      <x:c r="A100" s="3" t="s">
        <x:v>792</x:v>
      </x:c>
      <x:c r="B100" s="3" t="s">
        <x:v>651</x:v>
      </x:c>
      <x:c r="C100" s="3" t="s">
        <x:v>793</x:v>
      </x:c>
      <x:c r="D100" s="3" t="s">
        <x:v>794</x:v>
      </x:c>
      <x:c r="E100" s="3" t="s">
        <x:v>795</x:v>
      </x:c>
      <x:c r="F100" s="3" t="s">
        <x:v>58</x:v>
      </x:c>
      <x:c r="G100" s="3" t="s">
        <x:v>796</x:v>
      </x:c>
      <x:c r="H100" s="3" t="s">
        <x:v>797</x:v>
      </x:c>
      <x:c r="I100" s="3" t="s">
        <x:v>798</x:v>
      </x:c>
      <x:c r="J100" s="3" t="s">
        <x:v>757</x:v>
      </x:c>
      <x:c r="K100" s="3" t="s">
        <x:v>75</x:v>
      </x:c>
      <x:c r="L100" s="3" t="s">
        <x:v>799</x:v>
      </x:c>
      <x:c r="M100" s="3" t="s">
        <x:v>12</x:v>
      </x:c>
      <x:c r="N100" s="3"/>
      <x:c r="O100" s="3"/>
      <x:c r="P100" s="3"/>
      <x:c r="Q100" s="3"/>
      <x:c r="R100" s="3"/>
    </x:row>
    <x:row r="101" ht="70" customHeight="1">
      <x:c r="A101" s="3" t="s">
        <x:v>800</x:v>
      </x:c>
      <x:c r="B101" s="3" t="s">
        <x:v>651</x:v>
      </x:c>
      <x:c r="C101" s="3" t="s">
        <x:v>801</x:v>
      </x:c>
      <x:c r="D101" s="3" t="s">
        <x:v>802</x:v>
      </x:c>
      <x:c r="E101" s="3" t="s">
        <x:v>803</x:v>
      </x:c>
      <x:c r="F101" s="3" t="s">
        <x:v>70</x:v>
      </x:c>
      <x:c r="G101" s="3" t="s">
        <x:v>804</x:v>
      </x:c>
      <x:c r="H101" s="3" t="s">
        <x:v>805</x:v>
      </x:c>
      <x:c r="I101" s="3" t="s">
        <x:v>806</x:v>
      </x:c>
      <x:c r="J101" s="3" t="s">
        <x:v>658</x:v>
      </x:c>
      <x:c r="K101" s="3" t="s">
        <x:v>75</x:v>
      </x:c>
      <x:c r="L101" s="3" t="s">
        <x:v>807</x:v>
      </x:c>
      <x:c r="M101" s="3" t="s">
        <x:v>12</x:v>
      </x:c>
      <x:c r="N101" s="3"/>
      <x:c r="O101" s="3"/>
      <x:c r="P101" s="3"/>
      <x:c r="Q101" s="3"/>
      <x:c r="R101" s="3"/>
    </x:row>
    <x:row r="102" ht="70" customHeight="1">
      <x:c r="A102" s="3" t="s">
        <x:v>808</x:v>
      </x:c>
      <x:c r="B102" s="3" t="s">
        <x:v>651</x:v>
      </x:c>
      <x:c r="C102" s="3" t="s">
        <x:v>809</x:v>
      </x:c>
      <x:c r="D102" s="3" t="s">
        <x:v>810</x:v>
      </x:c>
      <x:c r="E102" s="3" t="s">
        <x:v>811</x:v>
      </x:c>
      <x:c r="F102" s="3" t="s">
        <x:v>58</x:v>
      </x:c>
      <x:c r="G102" s="3" t="s">
        <x:v>256</x:v>
      </x:c>
      <x:c r="H102" s="3" t="s">
        <x:v>812</x:v>
      </x:c>
      <x:c r="I102" s="3" t="s">
        <x:v>813</x:v>
      </x:c>
      <x:c r="J102" s="3" t="s">
        <x:v>814</x:v>
      </x:c>
      <x:c r="K102" s="3" t="s">
        <x:v>75</x:v>
      </x:c>
      <x:c r="L102" s="3" t="s">
        <x:v>815</x:v>
      </x:c>
      <x:c r="M102" s="3" t="s">
        <x:v>12</x:v>
      </x:c>
      <x:c r="N102" s="3"/>
      <x:c r="O102" s="3"/>
      <x:c r="P102" s="3"/>
      <x:c r="Q102" s="3"/>
      <x:c r="R102" s="3"/>
    </x:row>
    <x:row r="103" ht="70" customHeight="1">
      <x:c r="A103" s="3" t="s">
        <x:v>816</x:v>
      </x:c>
      <x:c r="B103" s="3" t="s">
        <x:v>651</x:v>
      </x:c>
      <x:c r="C103" s="3" t="s">
        <x:v>817</x:v>
      </x:c>
      <x:c r="D103" s="3" t="s">
        <x:v>818</x:v>
      </x:c>
      <x:c r="E103" s="3" t="s">
        <x:v>819</x:v>
      </x:c>
      <x:c r="F103" s="3" t="s">
        <x:v>70</x:v>
      </x:c>
      <x:c r="G103" s="3" t="s">
        <x:v>681</x:v>
      </x:c>
      <x:c r="H103" s="3" t="s">
        <x:v>820</x:v>
      </x:c>
      <x:c r="I103" s="3" t="s">
        <x:v>821</x:v>
      </x:c>
      <x:c r="J103" s="3" t="s">
        <x:v>658</x:v>
      </x:c>
      <x:c r="K103" s="3" t="s">
        <x:v>75</x:v>
      </x:c>
      <x:c r="L103" s="3" t="s">
        <x:v>822</x:v>
      </x:c>
      <x:c r="M103" s="3" t="s">
        <x:v>12</x:v>
      </x:c>
      <x:c r="N103" s="3"/>
      <x:c r="O103" s="3"/>
      <x:c r="P103" s="3"/>
      <x:c r="Q103" s="3"/>
      <x:c r="R103" s="3"/>
    </x:row>
    <x:row r="104" ht="70" customHeight="1">
      <x:c r="A104" s="3" t="s">
        <x:v>823</x:v>
      </x:c>
      <x:c r="B104" s="3" t="s">
        <x:v>651</x:v>
      </x:c>
      <x:c r="C104" s="3" t="s">
        <x:v>824</x:v>
      </x:c>
      <x:c r="D104" s="3" t="s">
        <x:v>825</x:v>
      </x:c>
      <x:c r="E104" s="3" t="s">
        <x:v>826</x:v>
      </x:c>
      <x:c r="F104" s="3" t="s">
        <x:v>58</x:v>
      </x:c>
      <x:c r="G104" s="3" t="s">
        <x:v>827</x:v>
      </x:c>
      <x:c r="H104" s="3" t="s">
        <x:v>828</x:v>
      </x:c>
      <x:c r="I104" s="3" t="s">
        <x:v>829</x:v>
      </x:c>
      <x:c r="J104" s="3" t="s">
        <x:v>830</x:v>
      </x:c>
      <x:c r="K104" s="3" t="s">
        <x:v>75</x:v>
      </x:c>
      <x:c r="L104" s="3" t="s">
        <x:v>831</x:v>
      </x:c>
      <x:c r="M104" s="3" t="s">
        <x:v>12</x:v>
      </x:c>
      <x:c r="N104" s="3"/>
      <x:c r="O104" s="3"/>
      <x:c r="P104" s="3"/>
      <x:c r="Q104" s="3"/>
      <x:c r="R104" s="3"/>
    </x:row>
    <x:row r="105" ht="70" customHeight="1">
      <x:c r="A105" s="3" t="s">
        <x:v>832</x:v>
      </x:c>
      <x:c r="B105" s="3" t="s">
        <x:v>651</x:v>
      </x:c>
      <x:c r="C105" s="3" t="s">
        <x:v>833</x:v>
      </x:c>
      <x:c r="D105" s="3" t="s">
        <x:v>834</x:v>
      </x:c>
      <x:c r="E105" s="3" t="s">
        <x:v>835</x:v>
      </x:c>
      <x:c r="F105" s="3" t="s">
        <x:v>58</x:v>
      </x:c>
      <x:c r="G105" s="3" t="s">
        <x:v>836</x:v>
      </x:c>
      <x:c r="H105" s="3" t="s">
        <x:v>837</x:v>
      </x:c>
      <x:c r="I105" s="3" t="s">
        <x:v>838</x:v>
      </x:c>
      <x:c r="J105" s="3" t="s">
        <x:v>658</x:v>
      </x:c>
      <x:c r="K105" s="3" t="s">
        <x:v>75</x:v>
      </x:c>
      <x:c r="L105" s="3" t="s">
        <x:v>839</x:v>
      </x:c>
      <x:c r="M105" s="3" t="s">
        <x:v>12</x:v>
      </x:c>
      <x:c r="N105" s="3"/>
      <x:c r="O105" s="3"/>
      <x:c r="P105" s="3"/>
      <x:c r="Q105" s="3"/>
      <x:c r="R105" s="3"/>
    </x:row>
    <x:row r="106" ht="70" customHeight="1">
      <x:c r="A106" s="3" t="s">
        <x:v>840</x:v>
      </x:c>
      <x:c r="B106" s="3" t="s">
        <x:v>651</x:v>
      </x:c>
      <x:c r="C106" s="3" t="s">
        <x:v>841</x:v>
      </x:c>
      <x:c r="D106" s="3" t="s">
        <x:v>842</x:v>
      </x:c>
      <x:c r="E106" s="3" t="s">
        <x:v>843</x:v>
      </x:c>
      <x:c r="F106" s="3" t="s">
        <x:v>70</x:v>
      </x:c>
      <x:c r="G106" s="3" t="s">
        <x:v>796</x:v>
      </x:c>
      <x:c r="H106" s="3" t="s">
        <x:v>844</x:v>
      </x:c>
      <x:c r="I106" s="3" t="s">
        <x:v>845</x:v>
      </x:c>
      <x:c r="J106" s="3" t="s">
        <x:v>658</x:v>
      </x:c>
      <x:c r="K106" s="3" t="s">
        <x:v>75</x:v>
      </x:c>
      <x:c r="L106" s="3" t="s">
        <x:v>846</x:v>
      </x:c>
      <x:c r="M106" s="3" t="s">
        <x:v>12</x:v>
      </x:c>
      <x:c r="N106" s="3"/>
      <x:c r="O106" s="3"/>
      <x:c r="P106" s="3"/>
      <x:c r="Q106" s="3"/>
      <x:c r="R106" s="3"/>
    </x:row>
    <x:row r="107" ht="70" customHeight="1">
      <x:c r="A107" s="3" t="s">
        <x:v>847</x:v>
      </x:c>
      <x:c r="B107" s="3" t="s">
        <x:v>651</x:v>
      </x:c>
      <x:c r="C107" s="3" t="s">
        <x:v>848</x:v>
      </x:c>
      <x:c r="D107" s="3" t="s">
        <x:v>849</x:v>
      </x:c>
      <x:c r="E107" s="3" t="s">
        <x:v>850</x:v>
      </x:c>
      <x:c r="F107" s="3" t="s">
        <x:v>58</x:v>
      </x:c>
      <x:c r="G107" s="3" t="s">
        <x:v>851</x:v>
      </x:c>
      <x:c r="H107" s="3" t="s">
        <x:v>852</x:v>
      </x:c>
      <x:c r="I107" s="3" t="s">
        <x:v>853</x:v>
      </x:c>
      <x:c r="J107" s="3" t="s">
        <x:v>658</x:v>
      </x:c>
      <x:c r="K107" s="3" t="s">
        <x:v>75</x:v>
      </x:c>
      <x:c r="L107" s="3" t="s">
        <x:v>854</x:v>
      </x:c>
      <x:c r="M107" s="3" t="s">
        <x:v>12</x:v>
      </x:c>
      <x:c r="N107" s="3"/>
      <x:c r="O107" s="3"/>
      <x:c r="P107" s="3"/>
      <x:c r="Q107" s="3"/>
      <x:c r="R107" s="3"/>
    </x:row>
    <x:row r="108" ht="70" customHeight="1">
      <x:c r="A108" s="3" t="s">
        <x:v>855</x:v>
      </x:c>
      <x:c r="B108" s="3" t="s">
        <x:v>651</x:v>
      </x:c>
      <x:c r="C108" s="3" t="s">
        <x:v>856</x:v>
      </x:c>
      <x:c r="D108" s="3" t="s">
        <x:v>857</x:v>
      </x:c>
      <x:c r="E108" s="3" t="s">
        <x:v>858</x:v>
      </x:c>
      <x:c r="F108" s="3" t="s">
        <x:v>58</x:v>
      </x:c>
      <x:c r="G108" s="3" t="s">
        <x:v>859</x:v>
      </x:c>
      <x:c r="H108" s="3" t="s">
        <x:v>860</x:v>
      </x:c>
      <x:c r="I108" s="3" t="s">
        <x:v>861</x:v>
      </x:c>
      <x:c r="J108" s="3" t="s">
        <x:v>783</x:v>
      </x:c>
      <x:c r="K108" s="3" t="s">
        <x:v>862</x:v>
      </x:c>
      <x:c r="L108" s="3" t="s">
        <x:v>863</x:v>
      </x:c>
      <x:c r="M108" s="3" t="s">
        <x:v>12</x:v>
      </x:c>
      <x:c r="N108" s="3"/>
      <x:c r="O108" s="3"/>
      <x:c r="P108" s="3"/>
      <x:c r="Q108" s="3"/>
      <x:c r="R108" s="3"/>
    </x:row>
    <x:row r="109" ht="70" customHeight="1">
      <x:c r="A109" s="3" t="s">
        <x:v>864</x:v>
      </x:c>
      <x:c r="B109" s="3" t="s">
        <x:v>651</x:v>
      </x:c>
      <x:c r="C109" s="3" t="s">
        <x:v>865</x:v>
      </x:c>
      <x:c r="D109" s="3" t="s">
        <x:v>866</x:v>
      </x:c>
      <x:c r="E109" s="3" t="s">
        <x:v>867</x:v>
      </x:c>
      <x:c r="F109" s="3" t="s">
        <x:v>70</x:v>
      </x:c>
      <x:c r="G109" s="3" t="s">
        <x:v>868</x:v>
      </x:c>
      <x:c r="H109" s="3" t="s">
        <x:v>869</x:v>
      </x:c>
      <x:c r="I109" s="3" t="s">
        <x:v>870</x:v>
      </x:c>
      <x:c r="J109" s="3" t="s">
        <x:v>871</x:v>
      </x:c>
      <x:c r="K109" s="3" t="s">
        <x:v>75</x:v>
      </x:c>
      <x:c r="L109" s="3" t="s">
        <x:v>872</x:v>
      </x:c>
      <x:c r="M109" s="3" t="s">
        <x:v>12</x:v>
      </x:c>
      <x:c r="N109" s="3"/>
      <x:c r="O109" s="3"/>
      <x:c r="P109" s="3"/>
      <x:c r="Q109" s="3"/>
      <x:c r="R109" s="3"/>
    </x:row>
    <x:row r="110" ht="70" customHeight="1">
      <x:c r="A110" s="3" t="s">
        <x:v>873</x:v>
      </x:c>
      <x:c r="B110" s="3" t="s">
        <x:v>651</x:v>
      </x:c>
      <x:c r="C110" s="3" t="s">
        <x:v>874</x:v>
      </x:c>
      <x:c r="D110" s="3" t="s">
        <x:v>875</x:v>
      </x:c>
      <x:c r="E110" s="3" t="s">
        <x:v>876</x:v>
      </x:c>
      <x:c r="F110" s="3" t="s">
        <x:v>58</x:v>
      </x:c>
      <x:c r="G110" s="3" t="s">
        <x:v>877</x:v>
      </x:c>
      <x:c r="H110" s="3" t="s">
        <x:v>878</x:v>
      </x:c>
      <x:c r="I110" s="3" t="s">
        <x:v>879</x:v>
      </x:c>
      <x:c r="J110" s="3" t="s">
        <x:v>783</x:v>
      </x:c>
      <x:c r="K110" s="3" t="s">
        <x:v>75</x:v>
      </x:c>
      <x:c r="L110" s="3" t="s">
        <x:v>880</x:v>
      </x:c>
      <x:c r="M110" s="3" t="s">
        <x:v>12</x:v>
      </x:c>
      <x:c r="N110" s="3"/>
      <x:c r="O110" s="3"/>
      <x:c r="P110" s="3"/>
      <x:c r="Q110" s="3"/>
      <x:c r="R110" s="3"/>
    </x:row>
    <x:row r="111" ht="70" customHeight="1">
      <x:c r="A111" s="3" t="s">
        <x:v>881</x:v>
      </x:c>
      <x:c r="B111" s="3" t="s">
        <x:v>651</x:v>
      </x:c>
      <x:c r="C111" s="3" t="s">
        <x:v>882</x:v>
      </x:c>
      <x:c r="D111" s="3" t="s">
        <x:v>883</x:v>
      </x:c>
      <x:c r="E111" s="3" t="s">
        <x:v>884</x:v>
      </x:c>
      <x:c r="F111" s="3" t="s">
        <x:v>70</x:v>
      </x:c>
      <x:c r="G111" s="3" t="s">
        <x:v>681</x:v>
      </x:c>
      <x:c r="H111" s="3" t="s">
        <x:v>885</x:v>
      </x:c>
      <x:c r="I111" s="3" t="s">
        <x:v>886</x:v>
      </x:c>
      <x:c r="J111" s="3" t="s">
        <x:v>658</x:v>
      </x:c>
      <x:c r="K111" s="3" t="s">
        <x:v>75</x:v>
      </x:c>
      <x:c r="L111" s="3" t="s">
        <x:v>887</x:v>
      </x:c>
      <x:c r="M111" s="3" t="s">
        <x:v>12</x:v>
      </x:c>
      <x:c r="N111" s="3"/>
      <x:c r="O111" s="3"/>
      <x:c r="P111" s="3"/>
      <x:c r="Q111" s="3"/>
      <x:c r="R111" s="3"/>
    </x:row>
    <x:row r="112" ht="70" customHeight="1">
      <x:c r="A112" s="3" t="s">
        <x:v>888</x:v>
      </x:c>
      <x:c r="B112" s="3" t="s">
        <x:v>651</x:v>
      </x:c>
      <x:c r="C112" s="3" t="s">
        <x:v>889</x:v>
      </x:c>
      <x:c r="D112" s="3" t="s">
        <x:v>890</x:v>
      </x:c>
      <x:c r="E112" s="3" t="s">
        <x:v>891</x:v>
      </x:c>
      <x:c r="F112" s="3" t="s">
        <x:v>70</x:v>
      </x:c>
      <x:c r="G112" s="3" t="s">
        <x:v>127</x:v>
      </x:c>
      <x:c r="H112" s="3" t="s">
        <x:v>892</x:v>
      </x:c>
      <x:c r="I112" s="3" t="s">
        <x:v>893</x:v>
      </x:c>
      <x:c r="J112" s="3" t="s">
        <x:v>894</x:v>
      </x:c>
      <x:c r="K112" s="3" t="s">
        <x:v>75</x:v>
      </x:c>
      <x:c r="L112" s="3" t="s">
        <x:v>895</x:v>
      </x:c>
      <x:c r="M112" s="3" t="s">
        <x:v>12</x:v>
      </x:c>
      <x:c r="N112" s="3"/>
      <x:c r="O112" s="3"/>
      <x:c r="P112" s="3"/>
      <x:c r="Q112" s="3"/>
      <x:c r="R112" s="3"/>
    </x:row>
    <x:row r="113" ht="70" customHeight="1">
      <x:c r="A113" s="3" t="s">
        <x:v>896</x:v>
      </x:c>
      <x:c r="B113" s="3" t="s">
        <x:v>651</x:v>
      </x:c>
      <x:c r="C113" s="3" t="s">
        <x:v>897</x:v>
      </x:c>
      <x:c r="D113" s="3" t="s">
        <x:v>898</x:v>
      </x:c>
      <x:c r="E113" s="3" t="s">
        <x:v>899</x:v>
      </x:c>
      <x:c r="F113" s="3" t="s">
        <x:v>58</x:v>
      </x:c>
      <x:c r="G113" s="3" t="s">
        <x:v>900</x:v>
      </x:c>
      <x:c r="H113" s="3" t="s">
        <x:v>901</x:v>
      </x:c>
      <x:c r="I113" s="3" t="s">
        <x:v>902</x:v>
      </x:c>
      <x:c r="J113" s="3" t="s">
        <x:v>658</x:v>
      </x:c>
      <x:c r="K113" s="3" t="s">
        <x:v>75</x:v>
      </x:c>
      <x:c r="L113" s="3" t="s">
        <x:v>903</x:v>
      </x:c>
      <x:c r="M113" s="3" t="s">
        <x:v>12</x:v>
      </x:c>
      <x:c r="N113" s="3"/>
      <x:c r="O113" s="3"/>
      <x:c r="P113" s="3"/>
      <x:c r="Q113" s="3"/>
      <x:c r="R113" s="3"/>
    </x:row>
    <x:row r="114" ht="70" customHeight="1">
      <x:c r="A114" s="3" t="s">
        <x:v>904</x:v>
      </x:c>
      <x:c r="B114" s="3" t="s">
        <x:v>651</x:v>
      </x:c>
      <x:c r="C114" s="3" t="s">
        <x:v>905</x:v>
      </x:c>
      <x:c r="D114" s="3" t="s">
        <x:v>906</x:v>
      </x:c>
      <x:c r="E114" s="3" t="s">
        <x:v>907</x:v>
      </x:c>
      <x:c r="F114" s="3" t="s">
        <x:v>58</x:v>
      </x:c>
      <x:c r="G114" s="3" t="s">
        <x:v>908</x:v>
      </x:c>
      <x:c r="H114" s="3" t="s">
        <x:v>909</x:v>
      </x:c>
      <x:c r="I114" s="3" t="s">
        <x:v>910</x:v>
      </x:c>
      <x:c r="J114" s="3" t="s">
        <x:v>757</x:v>
      </x:c>
      <x:c r="K114" s="3" t="s">
        <x:v>75</x:v>
      </x:c>
      <x:c r="L114" s="3" t="s">
        <x:v>911</x:v>
      </x:c>
      <x:c r="M114" s="3" t="s">
        <x:v>12</x:v>
      </x:c>
      <x:c r="N114" s="3"/>
      <x:c r="O114" s="3"/>
      <x:c r="P114" s="3"/>
      <x:c r="Q114" s="3"/>
      <x:c r="R114" s="3"/>
    </x:row>
    <x:row r="115" ht="70" customHeight="1">
      <x:c r="A115" s="3" t="s">
        <x:v>912</x:v>
      </x:c>
      <x:c r="B115" s="3" t="s">
        <x:v>651</x:v>
      </x:c>
      <x:c r="C115" s="3" t="s">
        <x:v>913</x:v>
      </x:c>
      <x:c r="D115" s="3" t="s">
        <x:v>914</x:v>
      </x:c>
      <x:c r="E115" s="3" t="s">
        <x:v>915</x:v>
      </x:c>
      <x:c r="F115" s="3" t="s">
        <x:v>70</x:v>
      </x:c>
      <x:c r="G115" s="3" t="s">
        <x:v>916</x:v>
      </x:c>
      <x:c r="H115" s="3" t="s">
        <x:v>917</x:v>
      </x:c>
      <x:c r="I115" s="3" t="s">
        <x:v>918</x:v>
      </x:c>
      <x:c r="J115" s="3" t="s">
        <x:v>871</x:v>
      </x:c>
      <x:c r="K115" s="3" t="s">
        <x:v>75</x:v>
      </x:c>
      <x:c r="L115" s="3" t="s">
        <x:v>919</x:v>
      </x:c>
      <x:c r="M115" s="3" t="s">
        <x:v>12</x:v>
      </x:c>
      <x:c r="N115" s="3"/>
      <x:c r="O115" s="3"/>
      <x:c r="P115" s="3"/>
      <x:c r="Q115" s="3"/>
      <x:c r="R115" s="3"/>
    </x:row>
    <x:row r="116" ht="70" customHeight="1">
      <x:c r="A116" s="3" t="s">
        <x:v>920</x:v>
      </x:c>
      <x:c r="B116" s="3" t="s">
        <x:v>651</x:v>
      </x:c>
      <x:c r="C116" s="3" t="s">
        <x:v>921</x:v>
      </x:c>
      <x:c r="D116" s="3" t="s">
        <x:v>922</x:v>
      </x:c>
      <x:c r="E116" s="3" t="s">
        <x:v>923</x:v>
      </x:c>
      <x:c r="F116" s="3" t="s">
        <x:v>70</x:v>
      </x:c>
      <x:c r="G116" s="3" t="s">
        <x:v>924</x:v>
      </x:c>
      <x:c r="H116" s="3" t="s">
        <x:v>925</x:v>
      </x:c>
      <x:c r="I116" s="3" t="s">
        <x:v>926</x:v>
      </x:c>
      <x:c r="J116" s="3" t="s">
        <x:v>757</x:v>
      </x:c>
      <x:c r="K116" s="3" t="s">
        <x:v>75</x:v>
      </x:c>
      <x:c r="L116" s="3" t="s">
        <x:v>927</x:v>
      </x:c>
      <x:c r="M116" s="3" t="s">
        <x:v>12</x:v>
      </x:c>
      <x:c r="N116" s="3"/>
      <x:c r="O116" s="3"/>
      <x:c r="P116" s="3"/>
      <x:c r="Q116" s="3"/>
      <x:c r="R116" s="3"/>
    </x:row>
    <x:row r="117" ht="70" customHeight="1">
      <x:c r="A117" s="3" t="s">
        <x:v>928</x:v>
      </x:c>
      <x:c r="B117" s="3" t="s">
        <x:v>651</x:v>
      </x:c>
      <x:c r="C117" s="3" t="s">
        <x:v>929</x:v>
      </x:c>
      <x:c r="D117" s="3" t="s">
        <x:v>930</x:v>
      </x:c>
      <x:c r="E117" s="3" t="s">
        <x:v>931</x:v>
      </x:c>
      <x:c r="F117" s="3" t="s">
        <x:v>70</x:v>
      </x:c>
      <x:c r="G117" s="3" t="s">
        <x:v>208</x:v>
      </x:c>
      <x:c r="H117" s="3" t="s">
        <x:v>932</x:v>
      </x:c>
      <x:c r="I117" s="3" t="s">
        <x:v>933</x:v>
      </x:c>
      <x:c r="J117" s="3" t="s">
        <x:v>658</x:v>
      </x:c>
      <x:c r="K117" s="3" t="s">
        <x:v>75</x:v>
      </x:c>
      <x:c r="L117" s="3" t="s">
        <x:v>934</x:v>
      </x:c>
      <x:c r="M117" s="3" t="s">
        <x:v>12</x:v>
      </x:c>
      <x:c r="N117" s="3"/>
      <x:c r="O117" s="3"/>
      <x:c r="P117" s="3"/>
      <x:c r="Q117" s="3"/>
      <x:c r="R117" s="3"/>
    </x:row>
    <x:row r="118" ht="70" customHeight="1">
      <x:c r="A118" s="3" t="s">
        <x:v>935</x:v>
      </x:c>
      <x:c r="B118" s="3" t="s">
        <x:v>651</x:v>
      </x:c>
      <x:c r="C118" s="3" t="s">
        <x:v>936</x:v>
      </x:c>
      <x:c r="D118" s="3" t="s">
        <x:v>937</x:v>
      </x:c>
      <x:c r="E118" s="3" t="s">
        <x:v>938</x:v>
      </x:c>
      <x:c r="F118" s="3" t="s">
        <x:v>70</x:v>
      </x:c>
      <x:c r="G118" s="3" t="s">
        <x:v>939</x:v>
      </x:c>
      <x:c r="H118" s="3" t="s">
        <x:v>940</x:v>
      </x:c>
      <x:c r="I118" s="3" t="s">
        <x:v>941</x:v>
      </x:c>
      <x:c r="J118" s="3" t="s">
        <x:v>658</x:v>
      </x:c>
      <x:c r="K118" s="3" t="s">
        <x:v>75</x:v>
      </x:c>
      <x:c r="L118" s="3" t="s">
        <x:v>942</x:v>
      </x:c>
      <x:c r="M118" s="3" t="s">
        <x:v>12</x:v>
      </x:c>
      <x:c r="N118" s="3"/>
      <x:c r="O118" s="3"/>
      <x:c r="P118" s="3"/>
      <x:c r="Q118" s="3"/>
      <x:c r="R118" s="3"/>
    </x:row>
    <x:row r="119" ht="70" customHeight="1">
      <x:c r="A119" s="3" t="s">
        <x:v>943</x:v>
      </x:c>
      <x:c r="B119" s="3" t="s">
        <x:v>651</x:v>
      </x:c>
      <x:c r="C119" s="3" t="s">
        <x:v>944</x:v>
      </x:c>
      <x:c r="D119" s="3" t="s">
        <x:v>945</x:v>
      </x:c>
      <x:c r="E119" s="3" t="s">
        <x:v>946</x:v>
      </x:c>
      <x:c r="F119" s="3" t="s">
        <x:v>70</x:v>
      </x:c>
      <x:c r="G119" s="3" t="s">
        <x:v>916</x:v>
      </x:c>
      <x:c r="H119" s="3" t="s">
        <x:v>947</x:v>
      </x:c>
      <x:c r="I119" s="3" t="s">
        <x:v>948</x:v>
      </x:c>
      <x:c r="J119" s="3" t="s">
        <x:v>757</x:v>
      </x:c>
      <x:c r="K119" s="3" t="s">
        <x:v>75</x:v>
      </x:c>
      <x:c r="L119" s="3" t="s">
        <x:v>949</x:v>
      </x:c>
      <x:c r="M119" s="3" t="s">
        <x:v>12</x:v>
      </x:c>
      <x:c r="N119" s="3"/>
      <x:c r="O119" s="3"/>
      <x:c r="P119" s="3"/>
      <x:c r="Q119" s="3"/>
      <x:c r="R119" s="3"/>
    </x:row>
    <x:row r="120" ht="70" customHeight="1">
      <x:c r="A120" s="3" t="s">
        <x:v>950</x:v>
      </x:c>
      <x:c r="B120" s="3" t="s">
        <x:v>651</x:v>
      </x:c>
      <x:c r="C120" s="3" t="s">
        <x:v>951</x:v>
      </x:c>
      <x:c r="D120" s="3" t="s">
        <x:v>952</x:v>
      </x:c>
      <x:c r="E120" s="3" t="s">
        <x:v>953</x:v>
      </x:c>
      <x:c r="F120" s="3" t="s">
        <x:v>70</x:v>
      </x:c>
      <x:c r="G120" s="3" t="s">
        <x:v>954</x:v>
      </x:c>
      <x:c r="H120" s="3" t="s">
        <x:v>955</x:v>
      </x:c>
      <x:c r="I120" s="3" t="s">
        <x:v>956</x:v>
      </x:c>
      <x:c r="J120" s="3" t="s">
        <x:v>658</x:v>
      </x:c>
      <x:c r="K120" s="3" t="s">
        <x:v>75</x:v>
      </x:c>
      <x:c r="L120" s="3" t="s">
        <x:v>957</x:v>
      </x:c>
      <x:c r="M120" s="3" t="s">
        <x:v>12</x:v>
      </x:c>
      <x:c r="N120" s="3"/>
      <x:c r="O120" s="3"/>
      <x:c r="P120" s="3"/>
      <x:c r="Q120" s="3"/>
      <x:c r="R120" s="3"/>
    </x:row>
    <x:row r="121" ht="70" customHeight="1">
      <x:c r="A121" s="3" t="s">
        <x:v>958</x:v>
      </x:c>
      <x:c r="B121" s="3" t="s">
        <x:v>651</x:v>
      </x:c>
      <x:c r="C121" s="3" t="s">
        <x:v>959</x:v>
      </x:c>
      <x:c r="D121" s="3" t="s">
        <x:v>960</x:v>
      </x:c>
      <x:c r="E121" s="3" t="s">
        <x:v>961</x:v>
      </x:c>
      <x:c r="F121" s="3" t="s">
        <x:v>70</x:v>
      </x:c>
      <x:c r="G121" s="3" t="s">
        <x:v>962</x:v>
      </x:c>
      <x:c r="H121" s="3" t="s">
        <x:v>963</x:v>
      </x:c>
      <x:c r="I121" s="3" t="s">
        <x:v>964</x:v>
      </x:c>
      <x:c r="J121" s="3" t="s">
        <x:v>783</x:v>
      </x:c>
      <x:c r="K121" s="3" t="s">
        <x:v>75</x:v>
      </x:c>
      <x:c r="L121" s="3" t="s">
        <x:v>965</x:v>
      </x:c>
      <x:c r="M121" s="3" t="s">
        <x:v>12</x:v>
      </x:c>
      <x:c r="N121" s="3"/>
      <x:c r="O121" s="3"/>
      <x:c r="P121" s="3"/>
      <x:c r="Q121" s="3"/>
      <x:c r="R121" s="3"/>
    </x:row>
    <x:row r="122" ht="70" customHeight="1">
      <x:c r="A122" s="3" t="s">
        <x:v>966</x:v>
      </x:c>
      <x:c r="B122" s="3" t="s">
        <x:v>651</x:v>
      </x:c>
      <x:c r="C122" s="3" t="s">
        <x:v>967</x:v>
      </x:c>
      <x:c r="D122" s="3" t="s">
        <x:v>968</x:v>
      </x:c>
      <x:c r="E122" s="3" t="s">
        <x:v>969</x:v>
      </x:c>
      <x:c r="F122" s="3" t="s">
        <x:v>70</x:v>
      </x:c>
      <x:c r="G122" s="3" t="s">
        <x:v>970</x:v>
      </x:c>
      <x:c r="H122" s="3" t="s">
        <x:v>971</x:v>
      </x:c>
      <x:c r="I122" s="3" t="s">
        <x:v>972</x:v>
      </x:c>
      <x:c r="J122" s="3" t="s">
        <x:v>658</x:v>
      </x:c>
      <x:c r="K122" s="3" t="s">
        <x:v>75</x:v>
      </x:c>
      <x:c r="L122" s="3" t="s">
        <x:v>973</x:v>
      </x:c>
      <x:c r="M122" s="3" t="s">
        <x:v>12</x:v>
      </x:c>
      <x:c r="N122" s="3"/>
      <x:c r="O122" s="3"/>
      <x:c r="P122" s="3"/>
      <x:c r="Q122" s="3"/>
      <x:c r="R122" s="3"/>
    </x:row>
    <x:row r="123" ht="70" customHeight="1">
      <x:c r="A123" s="3" t="s">
        <x:v>974</x:v>
      </x:c>
      <x:c r="B123" s="3" t="s">
        <x:v>651</x:v>
      </x:c>
      <x:c r="C123" s="3" t="s">
        <x:v>975</x:v>
      </x:c>
      <x:c r="D123" s="3" t="s">
        <x:v>976</x:v>
      </x:c>
      <x:c r="E123" s="3" t="s">
        <x:v>977</x:v>
      </x:c>
      <x:c r="F123" s="3" t="s">
        <x:v>70</x:v>
      </x:c>
      <x:c r="G123" s="3" t="s">
        <x:v>978</x:v>
      </x:c>
      <x:c r="H123" s="3" t="s">
        <x:v>979</x:v>
      </x:c>
      <x:c r="I123" s="3" t="s">
        <x:v>980</x:v>
      </x:c>
      <x:c r="J123" s="3" t="s">
        <x:v>981</x:v>
      </x:c>
      <x:c r="K123" s="3" t="s">
        <x:v>75</x:v>
      </x:c>
      <x:c r="L123" s="3" t="s">
        <x:v>982</x:v>
      </x:c>
      <x:c r="M123" s="3" t="s">
        <x:v>12</x:v>
      </x:c>
      <x:c r="N123" s="3"/>
      <x:c r="O123" s="3"/>
      <x:c r="P123" s="3"/>
      <x:c r="Q123" s="3"/>
      <x:c r="R123" s="3"/>
    </x:row>
    <x:row r="124" ht="70" customHeight="1">
      <x:c r="A124" s="3" t="s">
        <x:v>983</x:v>
      </x:c>
      <x:c r="B124" s="3" t="s">
        <x:v>651</x:v>
      </x:c>
      <x:c r="C124" s="3" t="s">
        <x:v>984</x:v>
      </x:c>
      <x:c r="D124" s="3" t="s">
        <x:v>985</x:v>
      </x:c>
      <x:c r="E124" s="3" t="s">
        <x:v>986</x:v>
      </x:c>
      <x:c r="F124" s="3" t="s">
        <x:v>58</x:v>
      </x:c>
      <x:c r="G124" s="3" t="s">
        <x:v>987</x:v>
      </x:c>
      <x:c r="H124" s="3" t="s">
        <x:v>988</x:v>
      </x:c>
      <x:c r="I124" s="3" t="s">
        <x:v>989</x:v>
      </x:c>
      <x:c r="J124" s="3" t="s">
        <x:v>814</x:v>
      </x:c>
      <x:c r="K124" s="3" t="s">
        <x:v>75</x:v>
      </x:c>
      <x:c r="L124" s="3" t="s">
        <x:v>990</x:v>
      </x:c>
      <x:c r="M124" s="3" t="s">
        <x:v>12</x:v>
      </x:c>
      <x:c r="N124" s="3"/>
      <x:c r="O124" s="3"/>
      <x:c r="P124" s="3"/>
      <x:c r="Q124" s="3"/>
      <x:c r="R124" s="3"/>
    </x:row>
    <x:row r="125" ht="70" customHeight="1">
      <x:c r="A125" s="3" t="s">
        <x:v>991</x:v>
      </x:c>
      <x:c r="B125" s="3" t="s">
        <x:v>651</x:v>
      </x:c>
      <x:c r="C125" s="3" t="s">
        <x:v>992</x:v>
      </x:c>
      <x:c r="D125" s="3" t="s">
        <x:v>993</x:v>
      </x:c>
      <x:c r="E125" s="3" t="s">
        <x:v>994</x:v>
      </x:c>
      <x:c r="F125" s="3" t="s">
        <x:v>70</x:v>
      </x:c>
      <x:c r="G125" s="3" t="s">
        <x:v>827</x:v>
      </x:c>
      <x:c r="H125" s="3" t="s">
        <x:v>995</x:v>
      </x:c>
      <x:c r="I125" s="3" t="s">
        <x:v>996</x:v>
      </x:c>
      <x:c r="J125" s="3" t="s">
        <x:v>814</x:v>
      </x:c>
      <x:c r="K125" s="3" t="s">
        <x:v>75</x:v>
      </x:c>
      <x:c r="L125" s="3" t="s">
        <x:v>997</x:v>
      </x:c>
      <x:c r="M125" s="3" t="s">
        <x:v>12</x:v>
      </x:c>
      <x:c r="N125" s="3"/>
      <x:c r="O125" s="3"/>
      <x:c r="P125" s="3"/>
      <x:c r="Q125" s="3"/>
      <x:c r="R125" s="3"/>
    </x:row>
    <x:row r="126" ht="70" customHeight="1">
      <x:c r="A126" s="3" t="s">
        <x:v>998</x:v>
      </x:c>
      <x:c r="B126" s="3" t="s">
        <x:v>651</x:v>
      </x:c>
      <x:c r="C126" s="3" t="s">
        <x:v>999</x:v>
      </x:c>
      <x:c r="D126" s="3" t="s">
        <x:v>1000</x:v>
      </x:c>
      <x:c r="E126" s="3" t="s">
        <x:v>1001</x:v>
      </x:c>
      <x:c r="F126" s="3" t="s">
        <x:v>70</x:v>
      </x:c>
      <x:c r="G126" s="3" t="s">
        <x:v>1002</x:v>
      </x:c>
      <x:c r="H126" s="3" t="s">
        <x:v>1003</x:v>
      </x:c>
      <x:c r="I126" s="3" t="s">
        <x:v>1004</x:v>
      </x:c>
      <x:c r="J126" s="3" t="s">
        <x:v>658</x:v>
      </x:c>
      <x:c r="K126" s="3" t="s">
        <x:v>75</x:v>
      </x:c>
      <x:c r="L126" s="3" t="s">
        <x:v>1005</x:v>
      </x:c>
      <x:c r="M126" s="3" t="s">
        <x:v>12</x:v>
      </x:c>
      <x:c r="N126" s="3"/>
      <x:c r="O126" s="3"/>
      <x:c r="P126" s="3"/>
      <x:c r="Q126" s="3"/>
      <x:c r="R126" s="3"/>
    </x:row>
    <x:row r="127" ht="70" customHeight="1">
      <x:c r="A127" s="3" t="s">
        <x:v>1006</x:v>
      </x:c>
      <x:c r="B127" s="3" t="s">
        <x:v>651</x:v>
      </x:c>
      <x:c r="C127" s="3" t="s">
        <x:v>1007</x:v>
      </x:c>
      <x:c r="D127" s="3" t="s">
        <x:v>1008</x:v>
      </x:c>
      <x:c r="E127" s="3" t="s">
        <x:v>1009</x:v>
      </x:c>
      <x:c r="F127" s="3" t="s">
        <x:v>70</x:v>
      </x:c>
      <x:c r="G127" s="3" t="s">
        <x:v>1010</x:v>
      </x:c>
      <x:c r="H127" s="3" t="s">
        <x:v>1011</x:v>
      </x:c>
      <x:c r="I127" s="3" t="s">
        <x:v>1012</x:v>
      </x:c>
      <x:c r="J127" s="3" t="s">
        <x:v>658</x:v>
      </x:c>
      <x:c r="K127" s="3" t="s">
        <x:v>75</x:v>
      </x:c>
      <x:c r="L127" s="3" t="s">
        <x:v>1013</x:v>
      </x:c>
      <x:c r="M127" s="3" t="s">
        <x:v>12</x:v>
      </x:c>
      <x:c r="N127" s="3"/>
      <x:c r="O127" s="3"/>
      <x:c r="P127" s="3"/>
      <x:c r="Q127" s="3"/>
      <x:c r="R127" s="3"/>
    </x:row>
    <x:row r="128" ht="70" customHeight="1">
      <x:c r="A128" s="3" t="s">
        <x:v>1014</x:v>
      </x:c>
      <x:c r="B128" s="3" t="s">
        <x:v>651</x:v>
      </x:c>
      <x:c r="C128" s="3" t="s">
        <x:v>1015</x:v>
      </x:c>
      <x:c r="D128" s="3" t="s">
        <x:v>1016</x:v>
      </x:c>
      <x:c r="E128" s="3" t="s">
        <x:v>1017</x:v>
      </x:c>
      <x:c r="F128" s="3" t="s">
        <x:v>70</x:v>
      </x:c>
      <x:c r="G128" s="3" t="s">
        <x:v>1018</x:v>
      </x:c>
      <x:c r="H128" s="3" t="s">
        <x:v>1019</x:v>
      </x:c>
      <x:c r="I128" s="3" t="s">
        <x:v>1020</x:v>
      </x:c>
      <x:c r="J128" s="3" t="s">
        <x:v>814</x:v>
      </x:c>
      <x:c r="K128" s="3" t="s">
        <x:v>75</x:v>
      </x:c>
      <x:c r="L128" s="3" t="s">
        <x:v>1021</x:v>
      </x:c>
      <x:c r="M128" s="3" t="s">
        <x:v>12</x:v>
      </x:c>
      <x:c r="N128" s="3"/>
      <x:c r="O128" s="3"/>
      <x:c r="P128" s="3"/>
      <x:c r="Q128" s="3"/>
      <x:c r="R128" s="3"/>
    </x:row>
    <x:row r="129" ht="70" customHeight="1">
      <x:c r="A129" s="3" t="s">
        <x:v>1022</x:v>
      </x:c>
      <x:c r="B129" s="3" t="s">
        <x:v>651</x:v>
      </x:c>
      <x:c r="C129" s="3" t="s">
        <x:v>1023</x:v>
      </x:c>
      <x:c r="D129" s="3" t="s">
        <x:v>1024</x:v>
      </x:c>
      <x:c r="E129" s="3" t="s">
        <x:v>1025</x:v>
      </x:c>
      <x:c r="F129" s="3" t="s">
        <x:v>70</x:v>
      </x:c>
      <x:c r="G129" s="3" t="s">
        <x:v>1026</x:v>
      </x:c>
      <x:c r="H129" s="3" t="s">
        <x:v>1027</x:v>
      </x:c>
      <x:c r="I129" s="3" t="s">
        <x:v>1028</x:v>
      </x:c>
      <x:c r="J129" s="3" t="s">
        <x:v>871</x:v>
      </x:c>
      <x:c r="K129" s="3" t="s">
        <x:v>75</x:v>
      </x:c>
      <x:c r="L129" s="3" t="s">
        <x:v>1029</x:v>
      </x:c>
      <x:c r="M129" s="3" t="s">
        <x:v>12</x:v>
      </x:c>
      <x:c r="N129" s="3"/>
      <x:c r="O129" s="3"/>
      <x:c r="P129" s="3"/>
      <x:c r="Q129" s="3"/>
      <x:c r="R129" s="3"/>
    </x:row>
    <x:row r="130" ht="70" customHeight="1">
      <x:c r="A130" s="3" t="s">
        <x:v>1030</x:v>
      </x:c>
      <x:c r="B130" s="3" t="s">
        <x:v>651</x:v>
      </x:c>
      <x:c r="C130" s="3" t="s">
        <x:v>1031</x:v>
      </x:c>
      <x:c r="D130" s="3" t="s">
        <x:v>1032</x:v>
      </x:c>
      <x:c r="E130" s="3" t="s">
        <x:v>1033</x:v>
      </x:c>
      <x:c r="F130" s="3" t="s">
        <x:v>70</x:v>
      </x:c>
      <x:c r="G130" s="3" t="s">
        <x:v>1034</x:v>
      </x:c>
      <x:c r="H130" s="3" t="s">
        <x:v>1035</x:v>
      </x:c>
      <x:c r="I130" s="3" t="s">
        <x:v>1036</x:v>
      </x:c>
      <x:c r="J130" s="3" t="s">
        <x:v>658</x:v>
      </x:c>
      <x:c r="K130" s="3" t="s">
        <x:v>75</x:v>
      </x:c>
      <x:c r="L130" s="3" t="s">
        <x:v>1037</x:v>
      </x:c>
      <x:c r="M130" s="3" t="s">
        <x:v>12</x:v>
      </x:c>
      <x:c r="N130" s="3"/>
      <x:c r="O130" s="3"/>
      <x:c r="P130" s="3"/>
      <x:c r="Q130" s="3"/>
      <x:c r="R130" s="3"/>
    </x:row>
    <x:row r="131" ht="70" customHeight="1">
      <x:c r="A131" s="3" t="s">
        <x:v>1038</x:v>
      </x:c>
      <x:c r="B131" s="3" t="s">
        <x:v>651</x:v>
      </x:c>
      <x:c r="C131" s="3" t="s">
        <x:v>1039</x:v>
      </x:c>
      <x:c r="D131" s="3" t="s">
        <x:v>1040</x:v>
      </x:c>
      <x:c r="E131" s="3" t="s">
        <x:v>1041</x:v>
      </x:c>
      <x:c r="F131" s="3" t="s">
        <x:v>70</x:v>
      </x:c>
      <x:c r="G131" s="3" t="s">
        <x:v>1042</x:v>
      </x:c>
      <x:c r="H131" s="3" t="s">
        <x:v>1043</x:v>
      </x:c>
      <x:c r="I131" s="3" t="s">
        <x:v>1044</x:v>
      </x:c>
      <x:c r="J131" s="3" t="s">
        <x:v>658</x:v>
      </x:c>
      <x:c r="K131" s="3" t="s">
        <x:v>75</x:v>
      </x:c>
      <x:c r="L131" s="3" t="s">
        <x:v>1045</x:v>
      </x:c>
      <x:c r="M131" s="3" t="s">
        <x:v>12</x:v>
      </x:c>
      <x:c r="N131" s="3"/>
      <x:c r="O131" s="3"/>
      <x:c r="P131" s="3"/>
      <x:c r="Q131" s="3"/>
      <x:c r="R131" s="3"/>
    </x:row>
    <x:row r="132" ht="70" customHeight="1">
      <x:c r="A132" s="3" t="s">
        <x:v>1046</x:v>
      </x:c>
      <x:c r="B132" s="3" t="s">
        <x:v>651</x:v>
      </x:c>
      <x:c r="C132" s="3" t="s">
        <x:v>1047</x:v>
      </x:c>
      <x:c r="D132" s="3" t="s">
        <x:v>1048</x:v>
      </x:c>
      <x:c r="E132" s="3" t="s">
        <x:v>1049</x:v>
      </x:c>
      <x:c r="F132" s="3" t="s">
        <x:v>182</x:v>
      </x:c>
      <x:c r="G132" s="3" t="s">
        <x:v>1050</x:v>
      </x:c>
      <x:c r="H132" s="3" t="s">
        <x:v>1051</x:v>
      </x:c>
      <x:c r="I132" s="3" t="s">
        <x:v>1052</x:v>
      </x:c>
      <x:c r="J132" s="3" t="s">
        <x:v>1053</x:v>
      </x:c>
      <x:c r="K132" s="3" t="s">
        <x:v>1054</x:v>
      </x:c>
      <x:c r="L132" s="3" t="s">
        <x:v>1055</x:v>
      </x:c>
      <x:c r="M132" s="3" t="s">
        <x:v>12</x:v>
      </x:c>
      <x:c r="N132" s="3"/>
      <x:c r="O132" s="3"/>
      <x:c r="P132" s="3"/>
      <x:c r="Q132" s="3"/>
      <x:c r="R132" s="3"/>
    </x:row>
    <x:row r="133" ht="70" customHeight="1">
      <x:c r="A133" s="3" t="s">
        <x:v>1056</x:v>
      </x:c>
      <x:c r="B133" s="3" t="s">
        <x:v>651</x:v>
      </x:c>
      <x:c r="C133" s="3" t="s">
        <x:v>1057</x:v>
      </x:c>
      <x:c r="D133" s="3" t="s">
        <x:v>1058</x:v>
      </x:c>
      <x:c r="E133" s="3" t="s">
        <x:v>1059</x:v>
      </x:c>
      <x:c r="F133" s="3" t="s">
        <x:v>182</x:v>
      </x:c>
      <x:c r="G133" s="3" t="s">
        <x:v>978</x:v>
      </x:c>
      <x:c r="H133" s="3" t="s">
        <x:v>1060</x:v>
      </x:c>
      <x:c r="I133" s="3" t="s">
        <x:v>1061</x:v>
      </x:c>
      <x:c r="J133" s="3" t="s">
        <x:v>1062</x:v>
      </x:c>
      <x:c r="K133" s="3" t="s">
        <x:v>75</x:v>
      </x:c>
      <x:c r="L133" s="3" t="s">
        <x:v>1063</x:v>
      </x:c>
      <x:c r="M133" s="3" t="s">
        <x:v>12</x:v>
      </x:c>
      <x:c r="N133" s="3"/>
      <x:c r="O133" s="3"/>
      <x:c r="P133" s="3"/>
      <x:c r="Q133" s="3"/>
      <x:c r="R133" s="3"/>
    </x:row>
    <x:row r="134" ht="70" customHeight="1">
      <x:c r="A134" s="3" t="s">
        <x:v>1064</x:v>
      </x:c>
      <x:c r="B134" s="3" t="s">
        <x:v>651</x:v>
      </x:c>
      <x:c r="C134" s="3" t="s">
        <x:v>1065</x:v>
      </x:c>
      <x:c r="D134" s="3" t="s">
        <x:v>1066</x:v>
      </x:c>
      <x:c r="E134" s="3" t="s">
        <x:v>1067</x:v>
      </x:c>
      <x:c r="F134" s="3" t="s">
        <x:v>70</x:v>
      </x:c>
      <x:c r="G134" s="3" t="s">
        <x:v>59</x:v>
      </x:c>
      <x:c r="H134" s="3" t="s">
        <x:v>1068</x:v>
      </x:c>
      <x:c r="I134" s="3" t="s">
        <x:v>1069</x:v>
      </x:c>
      <x:c r="J134" s="3" t="s">
        <x:v>757</x:v>
      </x:c>
      <x:c r="K134" s="3" t="s">
        <x:v>75</x:v>
      </x:c>
      <x:c r="L134" s="3" t="s">
        <x:v>1070</x:v>
      </x:c>
      <x:c r="M134" s="3" t="s">
        <x:v>12</x:v>
      </x:c>
      <x:c r="N134" s="3"/>
      <x:c r="O134" s="3"/>
      <x:c r="P134" s="3"/>
      <x:c r="Q134" s="3"/>
      <x:c r="R134" s="3"/>
    </x:row>
    <x:row r="135" ht="70" customHeight="1">
      <x:c r="A135" s="3" t="s">
        <x:v>1071</x:v>
      </x:c>
      <x:c r="B135" s="3" t="s">
        <x:v>651</x:v>
      </x:c>
      <x:c r="C135" s="3" t="s">
        <x:v>1072</x:v>
      </x:c>
      <x:c r="D135" s="3" t="s">
        <x:v>1073</x:v>
      </x:c>
      <x:c r="E135" s="3" t="s">
        <x:v>1074</x:v>
      </x:c>
      <x:c r="F135" s="3" t="s">
        <x:v>182</x:v>
      </x:c>
      <x:c r="G135" s="3" t="s">
        <x:v>1075</x:v>
      </x:c>
      <x:c r="H135" s="3" t="s">
        <x:v>1076</x:v>
      </x:c>
      <x:c r="I135" s="3" t="s">
        <x:v>1077</x:v>
      </x:c>
      <x:c r="J135" s="3" t="s">
        <x:v>658</x:v>
      </x:c>
      <x:c r="K135" s="3" t="s">
        <x:v>75</x:v>
      </x:c>
      <x:c r="L135" s="3" t="s">
        <x:v>1078</x:v>
      </x:c>
      <x:c r="M135" s="3" t="s">
        <x:v>12</x:v>
      </x:c>
      <x:c r="N135" s="3"/>
      <x:c r="O135" s="3"/>
      <x:c r="P135" s="3"/>
      <x:c r="Q135" s="3"/>
      <x:c r="R135" s="3"/>
    </x:row>
    <x:row r="136" ht="70" customHeight="1">
      <x:c r="A136" s="3" t="s">
        <x:v>1079</x:v>
      </x:c>
      <x:c r="B136" s="3" t="s">
        <x:v>651</x:v>
      </x:c>
      <x:c r="C136" s="3" t="s">
        <x:v>1080</x:v>
      </x:c>
      <x:c r="D136" s="3" t="s">
        <x:v>1081</x:v>
      </x:c>
      <x:c r="E136" s="3" t="s">
        <x:v>1082</x:v>
      </x:c>
      <x:c r="F136" s="3" t="s">
        <x:v>70</x:v>
      </x:c>
      <x:c r="G136" s="3" t="s">
        <x:v>1083</x:v>
      </x:c>
      <x:c r="H136" s="3" t="s">
        <x:v>1084</x:v>
      </x:c>
      <x:c r="I136" s="3" t="s">
        <x:v>1085</x:v>
      </x:c>
      <x:c r="J136" s="3" t="s">
        <x:v>894</x:v>
      </x:c>
      <x:c r="K136" s="3" t="s">
        <x:v>75</x:v>
      </x:c>
      <x:c r="L136" s="3" t="s">
        <x:v>1086</x:v>
      </x:c>
      <x:c r="M136" s="3" t="s">
        <x:v>12</x:v>
      </x:c>
      <x:c r="N136" s="3"/>
      <x:c r="O136" s="3"/>
      <x:c r="P136" s="3"/>
      <x:c r="Q136" s="3"/>
      <x:c r="R136" s="3"/>
    </x:row>
    <x:row r="137" ht="70" customHeight="1">
      <x:c r="A137" s="3" t="s">
        <x:v>1087</x:v>
      </x:c>
      <x:c r="B137" s="3" t="s">
        <x:v>651</x:v>
      </x:c>
      <x:c r="C137" s="3" t="s">
        <x:v>1088</x:v>
      </x:c>
      <x:c r="D137" s="3"/>
      <x:c r="E137" s="3" t="s">
        <x:v>1089</x:v>
      </x:c>
      <x:c r="F137" s="3" t="s">
        <x:v>182</x:v>
      </x:c>
      <x:c r="G137" s="3" t="s">
        <x:v>1090</x:v>
      </x:c>
      <x:c r="H137" s="3" t="s">
        <x:v>1091</x:v>
      </x:c>
      <x:c r="I137" s="3" t="s">
        <x:v>1092</x:v>
      </x:c>
      <x:c r="J137" s="3" t="s">
        <x:v>1093</x:v>
      </x:c>
      <x:c r="K137" s="3" t="s">
        <x:v>75</x:v>
      </x:c>
      <x:c r="L137" s="3" t="s">
        <x:v>1094</x:v>
      </x:c>
      <x:c r="M137" s="3" t="s">
        <x:v>12</x:v>
      </x:c>
      <x:c r="N137" s="3"/>
      <x:c r="O137" s="3"/>
      <x:c r="P137" s="3"/>
      <x:c r="Q137" s="3"/>
      <x:c r="R137" s="3"/>
    </x:row>
    <x:row r="138" ht="70" customHeight="1">
      <x:c r="A138" s="3" t="s">
        <x:v>1095</x:v>
      </x:c>
      <x:c r="B138" s="3" t="s">
        <x:v>651</x:v>
      </x:c>
      <x:c r="C138" s="3" t="s">
        <x:v>1096</x:v>
      </x:c>
      <x:c r="D138" s="3"/>
      <x:c r="E138" s="3" t="s">
        <x:v>1097</x:v>
      </x:c>
      <x:c r="F138" s="3" t="s">
        <x:v>182</x:v>
      </x:c>
      <x:c r="G138" s="3" t="s">
        <x:v>1098</x:v>
      </x:c>
      <x:c r="H138" s="3" t="s">
        <x:v>1099</x:v>
      </x:c>
      <x:c r="I138" s="3" t="s">
        <x:v>1100</x:v>
      </x:c>
      <x:c r="J138" s="3" t="s">
        <x:v>658</x:v>
      </x:c>
      <x:c r="K138" s="3" t="s">
        <x:v>75</x:v>
      </x:c>
      <x:c r="L138" s="3" t="s">
        <x:v>1101</x:v>
      </x:c>
      <x:c r="M138" s="3" t="s">
        <x:v>12</x:v>
      </x:c>
      <x:c r="N138" s="3"/>
      <x:c r="O138" s="3"/>
      <x:c r="P138" s="3"/>
      <x:c r="Q138" s="3"/>
      <x:c r="R138" s="3"/>
    </x:row>
    <x:row r="139" ht="70" customHeight="1">
      <x:c r="A139" s="3" t="s">
        <x:v>1102</x:v>
      </x:c>
      <x:c r="B139" s="3" t="s">
        <x:v>651</x:v>
      </x:c>
      <x:c r="C139" s="3" t="s">
        <x:v>1103</x:v>
      </x:c>
      <x:c r="D139" s="3" t="s">
        <x:v>1104</x:v>
      </x:c>
      <x:c r="E139" s="3" t="s">
        <x:v>1105</x:v>
      </x:c>
      <x:c r="F139" s="3" t="s">
        <x:v>70</x:v>
      </x:c>
      <x:c r="G139" s="3" t="s">
        <x:v>1106</x:v>
      </x:c>
      <x:c r="H139" s="3" t="s">
        <x:v>1107</x:v>
      </x:c>
      <x:c r="I139" s="3" t="s">
        <x:v>1108</x:v>
      </x:c>
      <x:c r="J139" s="3" t="s">
        <x:v>658</x:v>
      </x:c>
      <x:c r="K139" s="3" t="s">
        <x:v>75</x:v>
      </x:c>
      <x:c r="L139" s="3" t="s">
        <x:v>1109</x:v>
      </x:c>
      <x:c r="M139" s="3" t="s">
        <x:v>12</x:v>
      </x:c>
      <x:c r="N139" s="3"/>
      <x:c r="O139" s="3"/>
      <x:c r="P139" s="3"/>
      <x:c r="Q139" s="3"/>
      <x:c r="R139" s="3"/>
    </x:row>
    <x:row r="140" ht="70" customHeight="1">
      <x:c r="A140" s="3" t="s">
        <x:v>1110</x:v>
      </x:c>
      <x:c r="B140" s="3" t="s">
        <x:v>651</x:v>
      </x:c>
      <x:c r="C140" s="3" t="s">
        <x:v>1111</x:v>
      </x:c>
      <x:c r="D140" s="3" t="s">
        <x:v>1112</x:v>
      </x:c>
      <x:c r="E140" s="3" t="s">
        <x:v>1113</x:v>
      </x:c>
      <x:c r="F140" s="3" t="s">
        <x:v>70</x:v>
      </x:c>
      <x:c r="G140" s="3" t="s">
        <x:v>1114</x:v>
      </x:c>
      <x:c r="H140" s="3" t="s">
        <x:v>1115</x:v>
      </x:c>
      <x:c r="I140" s="3" t="s">
        <x:v>1116</x:v>
      </x:c>
      <x:c r="J140" s="3" t="s">
        <x:v>658</x:v>
      </x:c>
      <x:c r="K140" s="3" t="s">
        <x:v>75</x:v>
      </x:c>
      <x:c r="L140" s="3" t="s">
        <x:v>1117</x:v>
      </x:c>
      <x:c r="M140" s="3" t="s">
        <x:v>12</x:v>
      </x:c>
      <x:c r="N140" s="3"/>
      <x:c r="O140" s="3"/>
      <x:c r="P140" s="3"/>
      <x:c r="Q140" s="3"/>
      <x:c r="R140" s="3"/>
    </x:row>
    <x:row r="141" ht="70" customHeight="1">
      <x:c r="A141" s="3" t="s">
        <x:v>1118</x:v>
      </x:c>
      <x:c r="B141" s="3" t="s">
        <x:v>651</x:v>
      </x:c>
      <x:c r="C141" s="3" t="s">
        <x:v>1119</x:v>
      </x:c>
      <x:c r="D141" s="3" t="s">
        <x:v>1120</x:v>
      </x:c>
      <x:c r="E141" s="3" t="s">
        <x:v>1121</x:v>
      </x:c>
      <x:c r="F141" s="3" t="s">
        <x:v>182</x:v>
      </x:c>
      <x:c r="G141" s="3" t="s">
        <x:v>978</x:v>
      </x:c>
      <x:c r="H141" s="3" t="s">
        <x:v>1122</x:v>
      </x:c>
      <x:c r="I141" s="3" t="s">
        <x:v>1123</x:v>
      </x:c>
      <x:c r="J141" s="3" t="s">
        <x:v>814</x:v>
      </x:c>
      <x:c r="K141" s="3" t="s">
        <x:v>75</x:v>
      </x:c>
      <x:c r="L141" s="3" t="s">
        <x:v>1124</x:v>
      </x:c>
      <x:c r="M141" s="3" t="s">
        <x:v>12</x:v>
      </x:c>
      <x:c r="N141" s="3"/>
      <x:c r="O141" s="3"/>
      <x:c r="P141" s="3"/>
      <x:c r="Q141" s="3"/>
      <x:c r="R141" s="3"/>
    </x:row>
    <x:row r="142" ht="70" customHeight="1">
      <x:c r="A142" s="3" t="s">
        <x:v>1125</x:v>
      </x:c>
      <x:c r="B142" s="3" t="s">
        <x:v>651</x:v>
      </x:c>
      <x:c r="C142" s="3" t="s">
        <x:v>1126</x:v>
      </x:c>
      <x:c r="D142" s="3" t="s">
        <x:v>1127</x:v>
      </x:c>
      <x:c r="E142" s="3" t="s">
        <x:v>1128</x:v>
      </x:c>
      <x:c r="F142" s="3" t="s">
        <x:v>182</x:v>
      </x:c>
      <x:c r="G142" s="3" t="s">
        <x:v>1129</x:v>
      </x:c>
      <x:c r="H142" s="3" t="s">
        <x:v>1130</x:v>
      </x:c>
      <x:c r="I142" s="3" t="s">
        <x:v>1131</x:v>
      </x:c>
      <x:c r="J142" s="3" t="s">
        <x:v>1132</x:v>
      </x:c>
      <x:c r="K142" s="3" t="s">
        <x:v>75</x:v>
      </x:c>
      <x:c r="L142" s="3" t="s">
        <x:v>1133</x:v>
      </x:c>
      <x:c r="M142" s="3" t="s">
        <x:v>12</x:v>
      </x:c>
      <x:c r="N142" s="3"/>
      <x:c r="O142" s="3"/>
      <x:c r="P142" s="3"/>
      <x:c r="Q142" s="3"/>
      <x:c r="R142" s="3"/>
    </x:row>
    <x:row r="143" ht="70" customHeight="1">
      <x:c r="A143" s="3" t="s">
        <x:v>1134</x:v>
      </x:c>
      <x:c r="B143" s="3" t="s">
        <x:v>651</x:v>
      </x:c>
      <x:c r="C143" s="3" t="s">
        <x:v>1135</x:v>
      </x:c>
      <x:c r="D143" s="3" t="s">
        <x:v>1136</x:v>
      </x:c>
      <x:c r="E143" s="3" t="s">
        <x:v>1137</x:v>
      </x:c>
      <x:c r="F143" s="3" t="s">
        <x:v>182</x:v>
      </x:c>
      <x:c r="G143" s="3" t="s">
        <x:v>1138</x:v>
      </x:c>
      <x:c r="H143" s="3" t="s">
        <x:v>1139</x:v>
      </x:c>
      <x:c r="I143" s="3" t="s">
        <x:v>1140</x:v>
      </x:c>
      <x:c r="J143" s="3" t="s">
        <x:v>814</x:v>
      </x:c>
      <x:c r="K143" s="3" t="s">
        <x:v>75</x:v>
      </x:c>
      <x:c r="L143" s="3" t="s">
        <x:v>1141</x:v>
      </x:c>
      <x:c r="M143" s="3" t="s">
        <x:v>12</x:v>
      </x:c>
      <x:c r="N143" s="3"/>
      <x:c r="O143" s="3"/>
      <x:c r="P143" s="3"/>
      <x:c r="Q143" s="3"/>
      <x:c r="R143" s="3"/>
    </x:row>
    <x:row r="144" ht="70" customHeight="1">
      <x:c r="A144" s="3" t="s">
        <x:v>1142</x:v>
      </x:c>
      <x:c r="B144" s="3" t="s">
        <x:v>651</x:v>
      </x:c>
      <x:c r="C144" s="3" t="s">
        <x:v>1143</x:v>
      </x:c>
      <x:c r="D144" s="3" t="s">
        <x:v>1144</x:v>
      </x:c>
      <x:c r="E144" s="3" t="s">
        <x:v>1145</x:v>
      </x:c>
      <x:c r="F144" s="3" t="s">
        <x:v>182</x:v>
      </x:c>
      <x:c r="G144" s="3" t="s">
        <x:v>1146</x:v>
      </x:c>
      <x:c r="H144" s="3" t="s">
        <x:v>1147</x:v>
      </x:c>
      <x:c r="I144" s="3" t="s">
        <x:v>1148</x:v>
      </x:c>
      <x:c r="J144" s="3" t="s">
        <x:v>658</x:v>
      </x:c>
      <x:c r="K144" s="3" t="s">
        <x:v>75</x:v>
      </x:c>
      <x:c r="L144" s="3" t="s">
        <x:v>1149</x:v>
      </x:c>
      <x:c r="M144" s="3" t="s">
        <x:v>12</x:v>
      </x:c>
      <x:c r="N144" s="3"/>
      <x:c r="O144" s="3"/>
      <x:c r="P144" s="3"/>
      <x:c r="Q144" s="3"/>
      <x:c r="R144" s="3"/>
    </x:row>
    <x:row r="145" ht="70" customHeight="1">
      <x:c r="A145" s="3" t="s">
        <x:v>1150</x:v>
      </x:c>
      <x:c r="B145" s="3" t="s">
        <x:v>651</x:v>
      </x:c>
      <x:c r="C145" s="3" t="s">
        <x:v>1151</x:v>
      </x:c>
      <x:c r="D145" s="3"/>
      <x:c r="E145" s="3" t="s">
        <x:v>1152</x:v>
      </x:c>
      <x:c r="F145" s="3" t="s">
        <x:v>182</x:v>
      </x:c>
      <x:c r="G145" s="3" t="s">
        <x:v>1153</x:v>
      </x:c>
      <x:c r="H145" s="3" t="s">
        <x:v>1154</x:v>
      </x:c>
      <x:c r="I145" s="3" t="s">
        <x:v>1155</x:v>
      </x:c>
      <x:c r="J145" s="3" t="s">
        <x:v>1156</x:v>
      </x:c>
      <x:c r="K145" s="3" t="s">
        <x:v>86</x:v>
      </x:c>
      <x:c r="L145" s="3" t="s">
        <x:v>1157</x:v>
      </x:c>
      <x:c r="M145" s="3" t="s">
        <x:v>12</x:v>
      </x:c>
      <x:c r="N145" s="3"/>
      <x:c r="O145" s="3"/>
      <x:c r="P145" s="3"/>
      <x:c r="Q145" s="3"/>
      <x:c r="R145" s="3"/>
    </x:row>
    <x:row r="146" ht="70" customHeight="1">
      <x:c r="A146" s="3" t="s">
        <x:v>1158</x:v>
      </x:c>
      <x:c r="B146" s="3" t="s">
        <x:v>651</x:v>
      </x:c>
      <x:c r="C146" s="3" t="s">
        <x:v>1159</x:v>
      </x:c>
      <x:c r="D146" s="3" t="s">
        <x:v>1160</x:v>
      </x:c>
      <x:c r="E146" s="3" t="s">
        <x:v>1161</x:v>
      </x:c>
      <x:c r="F146" s="3" t="s">
        <x:v>182</x:v>
      </x:c>
      <x:c r="G146" s="3" t="s">
        <x:v>1162</x:v>
      </x:c>
      <x:c r="H146" s="3" t="s">
        <x:v>1163</x:v>
      </x:c>
      <x:c r="I146" s="3" t="s">
        <x:v>1164</x:v>
      </x:c>
      <x:c r="J146" s="3" t="s">
        <x:v>658</x:v>
      </x:c>
      <x:c r="K146" s="3" t="s">
        <x:v>75</x:v>
      </x:c>
      <x:c r="L146" s="3" t="s">
        <x:v>1165</x:v>
      </x:c>
      <x:c r="M146" s="3" t="s">
        <x:v>12</x:v>
      </x:c>
      <x:c r="N146" s="3"/>
      <x:c r="O146" s="3"/>
      <x:c r="P146" s="3"/>
      <x:c r="Q146" s="3"/>
      <x:c r="R146" s="3"/>
    </x:row>
    <x:row r="147" ht="70" customHeight="1">
      <x:c r="A147" s="3" t="s">
        <x:v>1166</x:v>
      </x:c>
      <x:c r="B147" s="3" t="s">
        <x:v>651</x:v>
      </x:c>
      <x:c r="C147" s="3" t="s">
        <x:v>1167</x:v>
      </x:c>
      <x:c r="D147" s="3" t="s">
        <x:v>1168</x:v>
      </x:c>
      <x:c r="E147" s="3" t="s">
        <x:v>1169</x:v>
      </x:c>
      <x:c r="F147" s="3" t="s">
        <x:v>92</x:v>
      </x:c>
      <x:c r="G147" s="3" t="s">
        <x:v>1170</x:v>
      </x:c>
      <x:c r="H147" s="3" t="s">
        <x:v>1171</x:v>
      </x:c>
      <x:c r="I147" s="3" t="s">
        <x:v>1172</x:v>
      </x:c>
      <x:c r="J147" s="3" t="s">
        <x:v>658</x:v>
      </x:c>
      <x:c r="K147" s="3" t="s">
        <x:v>75</x:v>
      </x:c>
      <x:c r="L147" s="3" t="s">
        <x:v>1173</x:v>
      </x:c>
      <x:c r="M147" s="3" t="s">
        <x:v>12</x:v>
      </x:c>
      <x:c r="N147" s="3"/>
      <x:c r="O147" s="3"/>
      <x:c r="P147" s="3"/>
      <x:c r="Q147" s="3"/>
      <x:c r="R147" s="3"/>
    </x:row>
    <x:row r="148" ht="70" customHeight="1">
      <x:c r="A148" s="3" t="s">
        <x:v>1174</x:v>
      </x:c>
      <x:c r="B148" s="3" t="s">
        <x:v>651</x:v>
      </x:c>
      <x:c r="C148" s="3" t="s">
        <x:v>1175</x:v>
      </x:c>
      <x:c r="D148" s="3" t="s">
        <x:v>1176</x:v>
      </x:c>
      <x:c r="E148" s="3" t="s">
        <x:v>1177</x:v>
      </x:c>
      <x:c r="F148" s="3" t="s">
        <x:v>182</x:v>
      </x:c>
      <x:c r="G148" s="3" t="s">
        <x:v>730</x:v>
      </x:c>
      <x:c r="H148" s="3" t="s">
        <x:v>1178</x:v>
      </x:c>
      <x:c r="I148" s="3" t="s">
        <x:v>1179</x:v>
      </x:c>
      <x:c r="J148" s="3" t="s">
        <x:v>1132</x:v>
      </x:c>
      <x:c r="K148" s="3" t="s">
        <x:v>75</x:v>
      </x:c>
      <x:c r="L148" s="3" t="s">
        <x:v>1180</x:v>
      </x:c>
      <x:c r="M148" s="3" t="s">
        <x:v>12</x:v>
      </x:c>
      <x:c r="N148" s="3"/>
      <x:c r="O148" s="3"/>
      <x:c r="P148" s="3"/>
      <x:c r="Q148" s="3"/>
      <x:c r="R148" s="3"/>
    </x:row>
    <x:row r="149" ht="70" customHeight="1">
      <x:c r="A149" s="3" t="s">
        <x:v>1181</x:v>
      </x:c>
      <x:c r="B149" s="3" t="s">
        <x:v>651</x:v>
      </x:c>
      <x:c r="C149" s="3" t="s">
        <x:v>1182</x:v>
      </x:c>
      <x:c r="D149" s="3" t="s">
        <x:v>1183</x:v>
      </x:c>
      <x:c r="E149" s="3" t="s">
        <x:v>1184</x:v>
      </x:c>
      <x:c r="F149" s="3" t="s">
        <x:v>182</x:v>
      </x:c>
      <x:c r="G149" s="3" t="s">
        <x:v>390</x:v>
      </x:c>
      <x:c r="H149" s="3" t="s">
        <x:v>1185</x:v>
      </x:c>
      <x:c r="I149" s="3" t="s">
        <x:v>1186</x:v>
      </x:c>
      <x:c r="J149" s="3" t="s">
        <x:v>1187</x:v>
      </x:c>
      <x:c r="K149" s="3" t="s">
        <x:v>75</x:v>
      </x:c>
      <x:c r="L149" s="3" t="s">
        <x:v>1188</x:v>
      </x:c>
      <x:c r="M149" s="3" t="s">
        <x:v>12</x:v>
      </x:c>
      <x:c r="N149" s="3"/>
      <x:c r="O149" s="3"/>
      <x:c r="P149" s="3"/>
      <x:c r="Q149" s="3"/>
      <x:c r="R149" s="3"/>
    </x:row>
    <x:row r="150" ht="70" customHeight="1">
      <x:c r="A150" s="3" t="s">
        <x:v>1189</x:v>
      </x:c>
      <x:c r="B150" s="3" t="s">
        <x:v>651</x:v>
      </x:c>
      <x:c r="C150" s="3" t="s">
        <x:v>1190</x:v>
      </x:c>
      <x:c r="D150" s="3" t="s">
        <x:v>1191</x:v>
      </x:c>
      <x:c r="E150" s="3" t="s">
        <x:v>1192</x:v>
      </x:c>
      <x:c r="F150" s="3" t="s">
        <x:v>70</x:v>
      </x:c>
      <x:c r="G150" s="3" t="s">
        <x:v>1114</x:v>
      </x:c>
      <x:c r="H150" s="3" t="s">
        <x:v>1193</x:v>
      </x:c>
      <x:c r="I150" s="3" t="s">
        <x:v>1194</x:v>
      </x:c>
      <x:c r="J150" s="3" t="s">
        <x:v>658</x:v>
      </x:c>
      <x:c r="K150" s="3" t="s">
        <x:v>75</x:v>
      </x:c>
      <x:c r="L150" s="3" t="s">
        <x:v>1195</x:v>
      </x:c>
      <x:c r="M150" s="3" t="s">
        <x:v>12</x:v>
      </x:c>
      <x:c r="N150" s="3"/>
      <x:c r="O150" s="3"/>
      <x:c r="P150" s="3"/>
      <x:c r="Q150" s="3"/>
      <x:c r="R150" s="3"/>
    </x:row>
    <x:row r="151" ht="70" customHeight="1">
      <x:c r="A151" s="3" t="s">
        <x:v>1196</x:v>
      </x:c>
      <x:c r="B151" s="3" t="s">
        <x:v>651</x:v>
      </x:c>
      <x:c r="C151" s="3" t="s">
        <x:v>1197</x:v>
      </x:c>
      <x:c r="D151" s="3" t="s">
        <x:v>1198</x:v>
      </x:c>
      <x:c r="E151" s="3" t="s">
        <x:v>1199</x:v>
      </x:c>
      <x:c r="F151" s="3" t="s">
        <x:v>92</x:v>
      </x:c>
      <x:c r="G151" s="3" t="s">
        <x:v>664</x:v>
      </x:c>
      <x:c r="H151" s="3" t="s">
        <x:v>1200</x:v>
      </x:c>
      <x:c r="I151" s="3" t="s">
        <x:v>1201</x:v>
      </x:c>
      <x:c r="J151" s="3" t="s">
        <x:v>658</x:v>
      </x:c>
      <x:c r="K151" s="3" t="s">
        <x:v>75</x:v>
      </x:c>
      <x:c r="L151" s="3" t="s">
        <x:v>1202</x:v>
      </x:c>
      <x:c r="M151" s="3" t="s">
        <x:v>12</x:v>
      </x:c>
      <x:c r="N151" s="3"/>
      <x:c r="O151" s="3"/>
      <x:c r="P151" s="3"/>
      <x:c r="Q151" s="3"/>
      <x:c r="R151" s="3"/>
    </x:row>
    <x:row r="152" ht="70" customHeight="1">
      <x:c r="A152" s="3" t="s">
        <x:v>1203</x:v>
      </x:c>
      <x:c r="B152" s="3" t="s">
        <x:v>651</x:v>
      </x:c>
      <x:c r="C152" s="3" t="s">
        <x:v>1204</x:v>
      </x:c>
      <x:c r="D152" s="3" t="s">
        <x:v>1205</x:v>
      </x:c>
      <x:c r="E152" s="3" t="s">
        <x:v>1206</x:v>
      </x:c>
      <x:c r="F152" s="3" t="s">
        <x:v>92</x:v>
      </x:c>
      <x:c r="G152" s="3" t="s">
        <x:v>1207</x:v>
      </x:c>
      <x:c r="H152" s="3" t="s">
        <x:v>1208</x:v>
      </x:c>
      <x:c r="I152" s="3" t="s">
        <x:v>1209</x:v>
      </x:c>
      <x:c r="J152" s="3" t="s">
        <x:v>658</x:v>
      </x:c>
      <x:c r="K152" s="3" t="s">
        <x:v>1210</x:v>
      </x:c>
      <x:c r="L152" s="3" t="s">
        <x:v>1211</x:v>
      </x:c>
      <x:c r="M152" s="3" t="s">
        <x:v>12</x:v>
      </x:c>
      <x:c r="N152" s="3"/>
      <x:c r="O152" s="3"/>
      <x:c r="P152" s="3"/>
      <x:c r="Q152" s="3"/>
      <x:c r="R152" s="3"/>
    </x:row>
    <x:row r="153" ht="70" customHeight="1">
      <x:c r="A153" s="3" t="s">
        <x:v>1212</x:v>
      </x:c>
      <x:c r="B153" s="3" t="s">
        <x:v>651</x:v>
      </x:c>
      <x:c r="C153" s="3" t="s">
        <x:v>1213</x:v>
      </x:c>
      <x:c r="D153" s="3" t="s">
        <x:v>1214</x:v>
      </x:c>
      <x:c r="E153" s="3" t="s">
        <x:v>1215</x:v>
      </x:c>
      <x:c r="F153" s="3" t="s">
        <x:v>81</x:v>
      </x:c>
      <x:c r="G153" s="3" t="s">
        <x:v>154</x:v>
      </x:c>
      <x:c r="H153" s="3" t="s">
        <x:v>1216</x:v>
      </x:c>
      <x:c r="I153" s="3" t="s">
        <x:v>1217</x:v>
      </x:c>
      <x:c r="J153" s="3" t="s">
        <x:v>814</x:v>
      </x:c>
      <x:c r="K153" s="3" t="s">
        <x:v>75</x:v>
      </x:c>
      <x:c r="L153" s="3" t="s">
        <x:v>1218</x:v>
      </x:c>
      <x:c r="M153" s="3" t="s">
        <x:v>12</x:v>
      </x:c>
      <x:c r="N153" s="3"/>
      <x:c r="O153" s="3"/>
      <x:c r="P153" s="3"/>
      <x:c r="Q153" s="3"/>
      <x:c r="R153" s="3"/>
    </x:row>
    <x:row r="154" ht="70" customHeight="1">
      <x:c r="A154" s="3" t="s">
        <x:v>1219</x:v>
      </x:c>
      <x:c r="B154" s="3" t="s">
        <x:v>651</x:v>
      </x:c>
      <x:c r="C154" s="3" t="s">
        <x:v>1220</x:v>
      </x:c>
      <x:c r="D154" s="3" t="s">
        <x:v>1221</x:v>
      </x:c>
      <x:c r="E154" s="3" t="s">
        <x:v>1222</x:v>
      </x:c>
      <x:c r="F154" s="3" t="s">
        <x:v>81</x:v>
      </x:c>
      <x:c r="G154" s="3" t="s">
        <x:v>1223</x:v>
      </x:c>
      <x:c r="H154" s="3" t="s">
        <x:v>1224</x:v>
      </x:c>
      <x:c r="I154" s="3" t="s">
        <x:v>1225</x:v>
      </x:c>
      <x:c r="J154" s="3" t="s">
        <x:v>658</x:v>
      </x:c>
      <x:c r="K154" s="3" t="s">
        <x:v>75</x:v>
      </x:c>
      <x:c r="L154" s="3" t="s">
        <x:v>1226</x:v>
      </x:c>
      <x:c r="M154" s="3" t="s">
        <x:v>12</x:v>
      </x:c>
      <x:c r="N154" s="3"/>
      <x:c r="O154" s="3"/>
      <x:c r="P154" s="3"/>
      <x:c r="Q154" s="3"/>
      <x:c r="R154" s="3"/>
    </x:row>
    <x:row r="155" ht="70" customHeight="1">
      <x:c r="A155" s="3" t="s">
        <x:v>1227</x:v>
      </x:c>
      <x:c r="B155" s="3" t="s">
        <x:v>651</x:v>
      </x:c>
      <x:c r="C155" s="3" t="s">
        <x:v>1228</x:v>
      </x:c>
      <x:c r="D155" s="3" t="s">
        <x:v>1229</x:v>
      </x:c>
      <x:c r="E155" s="3" t="s">
        <x:v>1230</x:v>
      </x:c>
      <x:c r="F155" s="3" t="s">
        <x:v>81</x:v>
      </x:c>
      <x:c r="G155" s="3" t="s">
        <x:v>1231</x:v>
      </x:c>
      <x:c r="H155" s="3" t="s">
        <x:v>1232</x:v>
      </x:c>
      <x:c r="I155" s="3" t="s">
        <x:v>1233</x:v>
      </x:c>
      <x:c r="J155" s="3" t="s">
        <x:v>658</x:v>
      </x:c>
      <x:c r="K155" s="3" t="s">
        <x:v>75</x:v>
      </x:c>
      <x:c r="L155" s="3" t="s">
        <x:v>1234</x:v>
      </x:c>
      <x:c r="M155" s="3" t="s">
        <x:v>12</x:v>
      </x:c>
      <x:c r="N155" s="3"/>
      <x:c r="O155" s="3"/>
      <x:c r="P155" s="3"/>
      <x:c r="Q155" s="3"/>
      <x:c r="R155" s="3"/>
    </x:row>
    <x:row r="156" ht="70" customHeight="1">
      <x:c r="A156" s="3" t="s">
        <x:v>1235</x:v>
      </x:c>
      <x:c r="B156" s="3" t="s">
        <x:v>651</x:v>
      </x:c>
      <x:c r="C156" s="3" t="s">
        <x:v>1236</x:v>
      </x:c>
      <x:c r="D156" s="3" t="s">
        <x:v>1237</x:v>
      </x:c>
      <x:c r="E156" s="3" t="s">
        <x:v>1238</x:v>
      </x:c>
      <x:c r="F156" s="3" t="s">
        <x:v>81</x:v>
      </x:c>
      <x:c r="G156" s="3" t="s">
        <x:v>827</x:v>
      </x:c>
      <x:c r="H156" s="3" t="s">
        <x:v>1239</x:v>
      </x:c>
      <x:c r="I156" s="3" t="s">
        <x:v>1240</x:v>
      </x:c>
      <x:c r="J156" s="3" t="s">
        <x:v>757</x:v>
      </x:c>
      <x:c r="K156" s="3" t="s">
        <x:v>75</x:v>
      </x:c>
      <x:c r="L156" s="3" t="s">
        <x:v>1241</x:v>
      </x:c>
      <x:c r="M156" s="3" t="s">
        <x:v>12</x:v>
      </x:c>
      <x:c r="N156" s="3"/>
      <x:c r="O156" s="3"/>
      <x:c r="P156" s="3"/>
      <x:c r="Q156" s="3"/>
      <x:c r="R156" s="3"/>
    </x:row>
    <x:row r="157" ht="70" customHeight="1">
      <x:c r="A157" s="3" t="s">
        <x:v>1242</x:v>
      </x:c>
      <x:c r="B157" s="3" t="s">
        <x:v>651</x:v>
      </x:c>
      <x:c r="C157" s="3" t="s">
        <x:v>1243</x:v>
      </x:c>
      <x:c r="D157" s="3" t="s">
        <x:v>1244</x:v>
      </x:c>
      <x:c r="E157" s="3" t="s">
        <x:v>1245</x:v>
      </x:c>
      <x:c r="F157" s="3" t="s">
        <x:v>81</x:v>
      </x:c>
      <x:c r="G157" s="3" t="s">
        <x:v>1246</x:v>
      </x:c>
      <x:c r="H157" s="3" t="s">
        <x:v>1247</x:v>
      </x:c>
      <x:c r="I157" s="3" t="s">
        <x:v>1248</x:v>
      </x:c>
      <x:c r="J157" s="3" t="s">
        <x:v>814</x:v>
      </x:c>
      <x:c r="K157" s="3" t="s">
        <x:v>75</x:v>
      </x:c>
      <x:c r="L157" s="3" t="s">
        <x:v>1249</x:v>
      </x:c>
      <x:c r="M157" s="3" t="s">
        <x:v>12</x:v>
      </x:c>
      <x:c r="N157" s="3"/>
      <x:c r="O157" s="3"/>
      <x:c r="P157" s="3"/>
      <x:c r="Q157" s="3"/>
      <x:c r="R157" s="3"/>
    </x:row>
    <x:row r="158" ht="70" customHeight="1">
      <x:c r="A158" s="3" t="s">
        <x:v>1250</x:v>
      </x:c>
      <x:c r="B158" s="3" t="s">
        <x:v>651</x:v>
      </x:c>
      <x:c r="C158" s="3" t="s">
        <x:v>1251</x:v>
      </x:c>
      <x:c r="D158" s="3" t="s">
        <x:v>1252</x:v>
      </x:c>
      <x:c r="E158" s="3" t="s">
        <x:v>1253</x:v>
      </x:c>
      <x:c r="F158" s="3" t="s">
        <x:v>81</x:v>
      </x:c>
      <x:c r="G158" s="3" t="s">
        <x:v>1254</x:v>
      </x:c>
      <x:c r="H158" s="3" t="s">
        <x:v>1255</x:v>
      </x:c>
      <x:c r="I158" s="3" t="s">
        <x:v>1256</x:v>
      </x:c>
      <x:c r="J158" s="3" t="s">
        <x:v>814</x:v>
      </x:c>
      <x:c r="K158" s="3" t="s">
        <x:v>75</x:v>
      </x:c>
      <x:c r="L158" s="3" t="s">
        <x:v>1257</x:v>
      </x:c>
      <x:c r="M158" s="3" t="s">
        <x:v>12</x:v>
      </x:c>
      <x:c r="N158" s="3"/>
      <x:c r="O158" s="3"/>
      <x:c r="P158" s="3"/>
      <x:c r="Q158" s="3"/>
      <x:c r="R158" s="3"/>
    </x:row>
    <x:row r="159" ht="70" customHeight="1">
      <x:c r="A159" s="3" t="s">
        <x:v>1258</x:v>
      </x:c>
      <x:c r="B159" s="3" t="s">
        <x:v>651</x:v>
      </x:c>
      <x:c r="C159" s="3" t="s">
        <x:v>1259</x:v>
      </x:c>
      <x:c r="D159" s="3" t="s">
        <x:v>1260</x:v>
      </x:c>
      <x:c r="E159" s="3" t="s">
        <x:v>1261</x:v>
      </x:c>
      <x:c r="F159" s="3" t="s">
        <x:v>81</x:v>
      </x:c>
      <x:c r="G159" s="3" t="s">
        <x:v>1098</x:v>
      </x:c>
      <x:c r="H159" s="3" t="s">
        <x:v>1262</x:v>
      </x:c>
      <x:c r="I159" s="3" t="s">
        <x:v>1263</x:v>
      </x:c>
      <x:c r="J159" s="3" t="s">
        <x:v>757</x:v>
      </x:c>
      <x:c r="K159" s="3" t="s">
        <x:v>75</x:v>
      </x:c>
      <x:c r="L159" s="3" t="s">
        <x:v>1264</x:v>
      </x:c>
      <x:c r="M159" s="3" t="s">
        <x:v>12</x:v>
      </x:c>
      <x:c r="N159" s="3"/>
      <x:c r="O159" s="3"/>
      <x:c r="P159" s="3"/>
      <x:c r="Q159" s="3"/>
      <x:c r="R159" s="3"/>
    </x:row>
    <x:row r="160" ht="70" customHeight="1">
      <x:c r="A160" s="3" t="s">
        <x:v>1265</x:v>
      </x:c>
      <x:c r="B160" s="3" t="s">
        <x:v>651</x:v>
      </x:c>
      <x:c r="C160" s="3" t="s">
        <x:v>1266</x:v>
      </x:c>
      <x:c r="D160" s="3"/>
      <x:c r="E160" s="3" t="s">
        <x:v>1267</x:v>
      </x:c>
      <x:c r="F160" s="3" t="s">
        <x:v>81</x:v>
      </x:c>
      <x:c r="G160" s="3" t="s">
        <x:v>216</x:v>
      </x:c>
      <x:c r="H160" s="3" t="s">
        <x:v>1268</x:v>
      </x:c>
      <x:c r="I160" s="3" t="s">
        <x:v>1269</x:v>
      </x:c>
      <x:c r="J160" s="3" t="s">
        <x:v>1270</x:v>
      </x:c>
      <x:c r="K160" s="3" t="s">
        <x:v>75</x:v>
      </x:c>
      <x:c r="L160" s="3" t="s">
        <x:v>1271</x:v>
      </x:c>
      <x:c r="M160" s="3" t="s">
        <x:v>12</x:v>
      </x:c>
      <x:c r="N160" s="3"/>
      <x:c r="O160" s="3"/>
      <x:c r="P160" s="3"/>
      <x:c r="Q160" s="3"/>
      <x:c r="R160" s="3"/>
    </x:row>
    <x:row r="161" ht="70" customHeight="1">
      <x:c r="A161" s="3" t="s">
        <x:v>1272</x:v>
      </x:c>
      <x:c r="B161" s="3" t="s">
        <x:v>651</x:v>
      </x:c>
      <x:c r="C161" s="3" t="s">
        <x:v>1273</x:v>
      </x:c>
      <x:c r="D161" s="3" t="s">
        <x:v>1274</x:v>
      </x:c>
      <x:c r="E161" s="3" t="s">
        <x:v>1275</x:v>
      </x:c>
      <x:c r="F161" s="3" t="s">
        <x:v>81</x:v>
      </x:c>
      <x:c r="G161" s="3" t="s">
        <x:v>1276</x:v>
      </x:c>
      <x:c r="H161" s="3" t="s">
        <x:v>1277</x:v>
      </x:c>
      <x:c r="I161" s="3" t="s">
        <x:v>1278</x:v>
      </x:c>
      <x:c r="J161" s="3" t="s">
        <x:v>871</x:v>
      </x:c>
      <x:c r="K161" s="3" t="s">
        <x:v>75</x:v>
      </x:c>
      <x:c r="L161" s="3" t="s">
        <x:v>1279</x:v>
      </x:c>
      <x:c r="M161" s="3" t="s">
        <x:v>12</x:v>
      </x:c>
      <x:c r="N161" s="3"/>
      <x:c r="O161" s="3"/>
      <x:c r="P161" s="3"/>
      <x:c r="Q161" s="3"/>
      <x:c r="R161" s="3"/>
    </x:row>
    <x:row r="162" ht="70" customHeight="1">
      <x:c r="A162" s="3" t="s">
        <x:v>1280</x:v>
      </x:c>
      <x:c r="B162" s="3" t="s">
        <x:v>651</x:v>
      </x:c>
      <x:c r="C162" s="3" t="s">
        <x:v>1281</x:v>
      </x:c>
      <x:c r="D162" s="3" t="s">
        <x:v>1282</x:v>
      </x:c>
      <x:c r="E162" s="3" t="s">
        <x:v>1283</x:v>
      </x:c>
      <x:c r="F162" s="3" t="s">
        <x:v>288</x:v>
      </x:c>
      <x:c r="G162" s="3" t="s">
        <x:v>1284</x:v>
      </x:c>
      <x:c r="H162" s="3" t="s">
        <x:v>1285</x:v>
      </x:c>
      <x:c r="I162" s="3" t="s">
        <x:v>1286</x:v>
      </x:c>
      <x:c r="J162" s="3" t="s">
        <x:v>871</x:v>
      </x:c>
      <x:c r="K162" s="3" t="s">
        <x:v>75</x:v>
      </x:c>
      <x:c r="L162" s="3" t="s">
        <x:v>1287</x:v>
      </x:c>
      <x:c r="M162" s="3" t="s">
        <x:v>12</x:v>
      </x:c>
      <x:c r="N162" s="3"/>
      <x:c r="O162" s="3"/>
      <x:c r="P162" s="3"/>
      <x:c r="Q162" s="3"/>
      <x:c r="R162" s="3"/>
    </x:row>
    <x:row r="163" ht="70" customHeight="1">
      <x:c r="A163" s="3" t="s">
        <x:v>1288</x:v>
      </x:c>
      <x:c r="B163" s="3" t="s">
        <x:v>651</x:v>
      </x:c>
      <x:c r="C163" s="3" t="s">
        <x:v>1289</x:v>
      </x:c>
      <x:c r="D163" s="3" t="s">
        <x:v>1290</x:v>
      </x:c>
      <x:c r="E163" s="3" t="s">
        <x:v>1291</x:v>
      </x:c>
      <x:c r="F163" s="3" t="s">
        <x:v>81</x:v>
      </x:c>
      <x:c r="G163" s="3" t="s">
        <x:v>1292</x:v>
      </x:c>
      <x:c r="H163" s="3" t="s">
        <x:v>1293</x:v>
      </x:c>
      <x:c r="I163" s="3" t="s">
        <x:v>1294</x:v>
      </x:c>
      <x:c r="J163" s="3" t="s">
        <x:v>1295</x:v>
      </x:c>
      <x:c r="K163" s="3" t="s">
        <x:v>75</x:v>
      </x:c>
      <x:c r="L163" s="3" t="s">
        <x:v>1296</x:v>
      </x:c>
      <x:c r="M163" s="3" t="s">
        <x:v>12</x:v>
      </x:c>
      <x:c r="N163" s="3"/>
      <x:c r="O163" s="3"/>
      <x:c r="P163" s="3"/>
      <x:c r="Q163" s="3"/>
      <x:c r="R163" s="3"/>
    </x:row>
    <x:row r="164" ht="70" customHeight="1">
      <x:c r="A164" s="3" t="s">
        <x:v>1297</x:v>
      </x:c>
      <x:c r="B164" s="3" t="s">
        <x:v>651</x:v>
      </x:c>
      <x:c r="C164" s="3" t="s">
        <x:v>1298</x:v>
      </x:c>
      <x:c r="D164" s="3" t="s">
        <x:v>1299</x:v>
      </x:c>
      <x:c r="E164" s="3" t="s">
        <x:v>1300</x:v>
      </x:c>
      <x:c r="F164" s="3" t="s">
        <x:v>288</x:v>
      </x:c>
      <x:c r="G164" s="3" t="s">
        <x:v>1301</x:v>
      </x:c>
      <x:c r="H164" s="3" t="s">
        <x:v>1302</x:v>
      </x:c>
      <x:c r="I164" s="3" t="s">
        <x:v>1303</x:v>
      </x:c>
      <x:c r="J164" s="3" t="s">
        <x:v>658</x:v>
      </x:c>
      <x:c r="K164" s="3" t="s">
        <x:v>75</x:v>
      </x:c>
      <x:c r="L164" s="3" t="s">
        <x:v>1304</x:v>
      </x:c>
      <x:c r="M164" s="3" t="s">
        <x:v>12</x:v>
      </x:c>
      <x:c r="N164" s="3"/>
      <x:c r="O164" s="3"/>
      <x:c r="P164" s="3"/>
      <x:c r="Q164" s="3"/>
      <x:c r="R164" s="3"/>
    </x:row>
    <x:row r="165" ht="70" customHeight="1">
      <x:c r="A165" s="3" t="s">
        <x:v>1305</x:v>
      </x:c>
      <x:c r="B165" s="3" t="s">
        <x:v>651</x:v>
      </x:c>
      <x:c r="C165" s="3" t="s">
        <x:v>1306</x:v>
      </x:c>
      <x:c r="D165" s="3" t="s">
        <x:v>1307</x:v>
      </x:c>
      <x:c r="E165" s="3" t="s">
        <x:v>1308</x:v>
      </x:c>
      <x:c r="F165" s="3" t="s">
        <x:v>288</x:v>
      </x:c>
      <x:c r="G165" s="3" t="s">
        <x:v>1309</x:v>
      </x:c>
      <x:c r="H165" s="3" t="s">
        <x:v>1310</x:v>
      </x:c>
      <x:c r="I165" s="3" t="s">
        <x:v>1311</x:v>
      </x:c>
      <x:c r="J165" s="3" t="s">
        <x:v>871</x:v>
      </x:c>
      <x:c r="K165" s="3" t="s">
        <x:v>75</x:v>
      </x:c>
      <x:c r="L165" s="3" t="s">
        <x:v>1312</x:v>
      </x:c>
      <x:c r="M165" s="3" t="s">
        <x:v>12</x:v>
      </x:c>
      <x:c r="N165" s="3"/>
      <x:c r="O165" s="3"/>
      <x:c r="P165" s="3"/>
      <x:c r="Q165" s="3"/>
      <x:c r="R165" s="3"/>
    </x:row>
    <x:row r="166" ht="70" customHeight="1">
      <x:c r="A166" s="3" t="s">
        <x:v>1313</x:v>
      </x:c>
      <x:c r="B166" s="3" t="s">
        <x:v>651</x:v>
      </x:c>
      <x:c r="C166" s="3" t="s">
        <x:v>1314</x:v>
      </x:c>
      <x:c r="D166" s="3"/>
      <x:c r="E166" s="3" t="s">
        <x:v>1315</x:v>
      </x:c>
      <x:c r="F166" s="3" t="s">
        <x:v>81</x:v>
      </x:c>
      <x:c r="G166" s="3" t="s">
        <x:v>827</x:v>
      </x:c>
      <x:c r="H166" s="3" t="s">
        <x:v>1316</x:v>
      </x:c>
      <x:c r="I166" s="3" t="s">
        <x:v>1317</x:v>
      </x:c>
      <x:c r="J166" s="3" t="s">
        <x:v>871</x:v>
      </x:c>
      <x:c r="K166" s="3" t="s">
        <x:v>75</x:v>
      </x:c>
      <x:c r="L166" s="3" t="s">
        <x:v>1318</x:v>
      </x:c>
      <x:c r="M166" s="3" t="s">
        <x:v>12</x:v>
      </x:c>
      <x:c r="N166" s="3"/>
      <x:c r="O166" s="3"/>
      <x:c r="P166" s="3"/>
      <x:c r="Q166" s="3"/>
      <x:c r="R166" s="3"/>
    </x:row>
    <x:row r="167" ht="70" customHeight="1">
      <x:c r="A167" s="3" t="s">
        <x:v>1319</x:v>
      </x:c>
      <x:c r="B167" s="3" t="s">
        <x:v>651</x:v>
      </x:c>
      <x:c r="C167" s="3" t="s">
        <x:v>1320</x:v>
      </x:c>
      <x:c r="D167" s="3" t="s">
        <x:v>1321</x:v>
      </x:c>
      <x:c r="E167" s="3" t="s">
        <x:v>1322</x:v>
      </x:c>
      <x:c r="F167" s="3" t="s">
        <x:v>288</x:v>
      </x:c>
      <x:c r="G167" s="3" t="s">
        <x:v>1010</x:v>
      </x:c>
      <x:c r="H167" s="3" t="s">
        <x:v>1323</x:v>
      </x:c>
      <x:c r="I167" s="3" t="s">
        <x:v>1324</x:v>
      </x:c>
      <x:c r="J167" s="3" t="s">
        <x:v>658</x:v>
      </x:c>
      <x:c r="K167" s="3" t="s">
        <x:v>75</x:v>
      </x:c>
      <x:c r="L167" s="3" t="s">
        <x:v>1325</x:v>
      </x:c>
      <x:c r="M167" s="3" t="s">
        <x:v>12</x:v>
      </x:c>
      <x:c r="N167" s="3"/>
      <x:c r="O167" s="3"/>
      <x:c r="P167" s="3"/>
      <x:c r="Q167" s="3"/>
      <x:c r="R167" s="3"/>
    </x:row>
    <x:row r="168" ht="70" customHeight="1">
      <x:c r="A168" s="3" t="s">
        <x:v>1326</x:v>
      </x:c>
      <x:c r="B168" s="3" t="s">
        <x:v>651</x:v>
      </x:c>
      <x:c r="C168" s="3" t="s">
        <x:v>1327</x:v>
      </x:c>
      <x:c r="D168" s="3" t="s">
        <x:v>1328</x:v>
      </x:c>
      <x:c r="E168" s="3" t="s">
        <x:v>1329</x:v>
      </x:c>
      <x:c r="F168" s="3" t="s">
        <x:v>288</x:v>
      </x:c>
      <x:c r="G168" s="3" t="s">
        <x:v>714</x:v>
      </x:c>
      <x:c r="H168" s="3" t="s">
        <x:v>1330</x:v>
      </x:c>
      <x:c r="I168" s="3" t="s">
        <x:v>1331</x:v>
      </x:c>
      <x:c r="J168" s="3" t="s">
        <x:v>814</x:v>
      </x:c>
      <x:c r="K168" s="3" t="s">
        <x:v>75</x:v>
      </x:c>
      <x:c r="L168" s="3" t="s">
        <x:v>1332</x:v>
      </x:c>
      <x:c r="M168" s="3" t="s">
        <x:v>12</x:v>
      </x:c>
      <x:c r="N168" s="3"/>
      <x:c r="O168" s="3"/>
      <x:c r="P168" s="3"/>
      <x:c r="Q168" s="3"/>
      <x:c r="R168" s="3"/>
    </x:row>
    <x:row r="169" ht="70" customHeight="1">
      <x:c r="A169" s="3" t="s">
        <x:v>1333</x:v>
      </x:c>
      <x:c r="B169" s="3" t="s">
        <x:v>651</x:v>
      </x:c>
      <x:c r="C169" s="3" t="s">
        <x:v>1334</x:v>
      </x:c>
      <x:c r="D169" s="3" t="s">
        <x:v>1335</x:v>
      </x:c>
      <x:c r="E169" s="3" t="s">
        <x:v>1336</x:v>
      </x:c>
      <x:c r="F169" s="3" t="s">
        <x:v>81</x:v>
      </x:c>
      <x:c r="G169" s="3" t="s">
        <x:v>1254</x:v>
      </x:c>
      <x:c r="H169" s="3" t="s">
        <x:v>1337</x:v>
      </x:c>
      <x:c r="I169" s="3" t="s">
        <x:v>1338</x:v>
      </x:c>
      <x:c r="J169" s="3" t="s">
        <x:v>814</x:v>
      </x:c>
      <x:c r="K169" s="3" t="s">
        <x:v>75</x:v>
      </x:c>
      <x:c r="L169" s="3" t="s">
        <x:v>1339</x:v>
      </x:c>
      <x:c r="M169" s="3" t="s">
        <x:v>12</x:v>
      </x:c>
      <x:c r="N169" s="3"/>
      <x:c r="O169" s="3"/>
      <x:c r="P169" s="3"/>
      <x:c r="Q169" s="3"/>
      <x:c r="R169" s="3"/>
    </x:row>
    <x:row r="170" ht="70" customHeight="1">
      <x:c r="A170" s="3" t="s">
        <x:v>1340</x:v>
      </x:c>
      <x:c r="B170" s="3" t="s">
        <x:v>651</x:v>
      </x:c>
      <x:c r="C170" s="3" t="s">
        <x:v>1341</x:v>
      </x:c>
      <x:c r="D170" s="3" t="s">
        <x:v>1342</x:v>
      </x:c>
      <x:c r="E170" s="3" t="s">
        <x:v>1343</x:v>
      </x:c>
      <x:c r="F170" s="3" t="s">
        <x:v>288</x:v>
      </x:c>
      <x:c r="G170" s="3" t="s">
        <x:v>1344</x:v>
      </x:c>
      <x:c r="H170" s="3" t="s">
        <x:v>1345</x:v>
      </x:c>
      <x:c r="I170" s="3" t="s">
        <x:v>1346</x:v>
      </x:c>
      <x:c r="J170" s="3" t="s">
        <x:v>871</x:v>
      </x:c>
      <x:c r="K170" s="3" t="s">
        <x:v>75</x:v>
      </x:c>
      <x:c r="L170" s="3" t="s">
        <x:v>1347</x:v>
      </x:c>
      <x:c r="M170" s="3" t="s">
        <x:v>12</x:v>
      </x:c>
      <x:c r="N170" s="3"/>
      <x:c r="O170" s="3"/>
      <x:c r="P170" s="3"/>
      <x:c r="Q170" s="3"/>
      <x:c r="R170" s="3"/>
    </x:row>
    <x:row r="171" ht="70" customHeight="1">
      <x:c r="A171" s="3" t="s">
        <x:v>1348</x:v>
      </x:c>
      <x:c r="B171" s="3" t="s">
        <x:v>651</x:v>
      </x:c>
      <x:c r="C171" s="3" t="s">
        <x:v>1349</x:v>
      </x:c>
      <x:c r="D171" s="3"/>
      <x:c r="E171" s="3" t="s">
        <x:v>1350</x:v>
      </x:c>
      <x:c r="F171" s="3" t="s">
        <x:v>288</x:v>
      </x:c>
      <x:c r="G171" s="3" t="s">
        <x:v>1351</x:v>
      </x:c>
      <x:c r="H171" s="3" t="s">
        <x:v>1352</x:v>
      </x:c>
      <x:c r="I171" s="3" t="s">
        <x:v>1353</x:v>
      </x:c>
      <x:c r="J171" s="3" t="s">
        <x:v>871</x:v>
      </x:c>
      <x:c r="K171" s="3" t="s">
        <x:v>75</x:v>
      </x:c>
      <x:c r="L171" s="3" t="s">
        <x:v>1354</x:v>
      </x:c>
      <x:c r="M171" s="3" t="s">
        <x:v>12</x:v>
      </x:c>
      <x:c r="N171" s="3"/>
      <x:c r="O171" s="3"/>
      <x:c r="P171" s="3"/>
      <x:c r="Q171" s="3"/>
      <x:c r="R171" s="3"/>
    </x:row>
    <x:row r="172" ht="70" customHeight="1">
      <x:c r="A172" s="3" t="s">
        <x:v>1355</x:v>
      </x:c>
      <x:c r="B172" s="3" t="s">
        <x:v>651</x:v>
      </x:c>
      <x:c r="C172" s="3" t="s">
        <x:v>1356</x:v>
      </x:c>
      <x:c r="D172" s="3" t="s">
        <x:v>1357</x:v>
      </x:c>
      <x:c r="E172" s="3" t="s">
        <x:v>1358</x:v>
      </x:c>
      <x:c r="F172" s="3" t="s">
        <x:v>288</x:v>
      </x:c>
      <x:c r="G172" s="3" t="s">
        <x:v>1359</x:v>
      </x:c>
      <x:c r="H172" s="3" t="s">
        <x:v>1360</x:v>
      </x:c>
      <x:c r="I172" s="3" t="s">
        <x:v>1361</x:v>
      </x:c>
      <x:c r="J172" s="3" t="s">
        <x:v>871</x:v>
      </x:c>
      <x:c r="K172" s="3" t="s">
        <x:v>75</x:v>
      </x:c>
      <x:c r="L172" s="3" t="s">
        <x:v>1362</x:v>
      </x:c>
      <x:c r="M172" s="3" t="s">
        <x:v>12</x:v>
      </x:c>
      <x:c r="N172" s="3"/>
      <x:c r="O172" s="3"/>
      <x:c r="P172" s="3"/>
      <x:c r="Q172" s="3"/>
      <x:c r="R172" s="3"/>
    </x:row>
    <x:row r="173" ht="70" customHeight="1">
      <x:c r="A173" s="3" t="s">
        <x:v>1363</x:v>
      </x:c>
      <x:c r="B173" s="3" t="s">
        <x:v>651</x:v>
      </x:c>
      <x:c r="C173" s="3" t="s">
        <x:v>1364</x:v>
      </x:c>
      <x:c r="D173" s="3" t="s">
        <x:v>1365</x:v>
      </x:c>
      <x:c r="E173" s="3" t="s">
        <x:v>1366</x:v>
      </x:c>
      <x:c r="F173" s="3" t="s">
        <x:v>288</x:v>
      </x:c>
      <x:c r="G173" s="3" t="s">
        <x:v>1367</x:v>
      </x:c>
      <x:c r="H173" s="3" t="s">
        <x:v>1368</x:v>
      </x:c>
      <x:c r="I173" s="3" t="s">
        <x:v>1369</x:v>
      </x:c>
      <x:c r="J173" s="3" t="s">
        <x:v>1187</x:v>
      </x:c>
      <x:c r="K173" s="3" t="s">
        <x:v>75</x:v>
      </x:c>
      <x:c r="L173" s="3" t="s">
        <x:v>1370</x:v>
      </x:c>
      <x:c r="M173" s="3" t="s">
        <x:v>12</x:v>
      </x:c>
      <x:c r="N173" s="3"/>
      <x:c r="O173" s="3"/>
      <x:c r="P173" s="3"/>
      <x:c r="Q173" s="3"/>
      <x:c r="R173" s="3"/>
    </x:row>
    <x:row r="174" ht="70" customHeight="1">
      <x:c r="A174" s="3" t="s">
        <x:v>1371</x:v>
      </x:c>
      <x:c r="B174" s="3" t="s">
        <x:v>651</x:v>
      </x:c>
      <x:c r="C174" s="3" t="s">
        <x:v>1372</x:v>
      </x:c>
      <x:c r="D174" s="3" t="s">
        <x:v>1373</x:v>
      </x:c>
      <x:c r="E174" s="3" t="s">
        <x:v>1374</x:v>
      </x:c>
      <x:c r="F174" s="3" t="s">
        <x:v>288</x:v>
      </x:c>
      <x:c r="G174" s="3" t="s">
        <x:v>1375</x:v>
      </x:c>
      <x:c r="H174" s="3" t="s">
        <x:v>1376</x:v>
      </x:c>
      <x:c r="I174" s="3" t="s">
        <x:v>1377</x:v>
      </x:c>
      <x:c r="J174" s="3" t="s">
        <x:v>871</x:v>
      </x:c>
      <x:c r="K174" s="3" t="s">
        <x:v>75</x:v>
      </x:c>
      <x:c r="L174" s="3" t="s">
        <x:v>1378</x:v>
      </x:c>
      <x:c r="M174" s="3" t="s">
        <x:v>12</x:v>
      </x:c>
      <x:c r="N174" s="3"/>
      <x:c r="O174" s="3"/>
      <x:c r="P174" s="3"/>
      <x:c r="Q174" s="3"/>
      <x:c r="R174" s="3"/>
    </x:row>
    <x:row r="175" ht="70" customHeight="1">
      <x:c r="A175" s="3" t="s">
        <x:v>1379</x:v>
      </x:c>
      <x:c r="B175" s="3" t="s">
        <x:v>651</x:v>
      </x:c>
      <x:c r="C175" s="3" t="s">
        <x:v>1380</x:v>
      </x:c>
      <x:c r="D175" s="3"/>
      <x:c r="E175" s="3" t="s">
        <x:v>1381</x:v>
      </x:c>
      <x:c r="F175" s="3" t="s">
        <x:v>288</x:v>
      </x:c>
      <x:c r="G175" s="3" t="s">
        <x:v>256</x:v>
      </x:c>
      <x:c r="H175" s="3" t="s">
        <x:v>1382</x:v>
      </x:c>
      <x:c r="I175" s="3" t="s">
        <x:v>1383</x:v>
      </x:c>
      <x:c r="J175" s="3" t="s">
        <x:v>1093</x:v>
      </x:c>
      <x:c r="K175" s="3" t="s">
        <x:v>75</x:v>
      </x:c>
      <x:c r="L175" s="3" t="s">
        <x:v>1384</x:v>
      </x:c>
      <x:c r="M175" s="3" t="s">
        <x:v>12</x:v>
      </x:c>
      <x:c r="N175" s="3"/>
      <x:c r="O175" s="3"/>
      <x:c r="P175" s="3"/>
      <x:c r="Q175" s="3"/>
      <x:c r="R175" s="3"/>
    </x:row>
    <x:row r="176" ht="70" customHeight="1">
      <x:c r="A176" s="3" t="s">
        <x:v>1385</x:v>
      </x:c>
      <x:c r="B176" s="3" t="s">
        <x:v>651</x:v>
      </x:c>
      <x:c r="C176" s="3" t="s">
        <x:v>1386</x:v>
      </x:c>
      <x:c r="D176" s="3"/>
      <x:c r="E176" s="3" t="s">
        <x:v>1387</x:v>
      </x:c>
      <x:c r="F176" s="3" t="s">
        <x:v>288</x:v>
      </x:c>
      <x:c r="G176" s="3" t="s">
        <x:v>1388</x:v>
      </x:c>
      <x:c r="H176" s="3" t="s">
        <x:v>1389</x:v>
      </x:c>
      <x:c r="I176" s="3" t="s">
        <x:v>1390</x:v>
      </x:c>
      <x:c r="J176" s="3" t="s">
        <x:v>1391</x:v>
      </x:c>
      <x:c r="K176" s="3" t="s">
        <x:v>75</x:v>
      </x:c>
      <x:c r="L176" s="3" t="s">
        <x:v>1392</x:v>
      </x:c>
      <x:c r="M176" s="3" t="s">
        <x:v>12</x:v>
      </x:c>
      <x:c r="N176" s="3"/>
      <x:c r="O176" s="3"/>
      <x:c r="P176" s="3"/>
      <x:c r="Q176" s="3"/>
      <x:c r="R176" s="3"/>
    </x:row>
    <x:row r="177" ht="70" customHeight="1">
      <x:c r="A177" s="3" t="s">
        <x:v>1393</x:v>
      </x:c>
      <x:c r="B177" s="3" t="s">
        <x:v>651</x:v>
      </x:c>
      <x:c r="C177" s="3" t="s">
        <x:v>1394</x:v>
      </x:c>
      <x:c r="D177" s="3"/>
      <x:c r="E177" s="3" t="s">
        <x:v>1395</x:v>
      </x:c>
      <x:c r="F177" s="3" t="s">
        <x:v>297</x:v>
      </x:c>
      <x:c r="G177" s="3" t="s">
        <x:v>1367</x:v>
      </x:c>
      <x:c r="H177" s="3" t="s">
        <x:v>1396</x:v>
      </x:c>
      <x:c r="I177" s="3" t="s">
        <x:v>1397</x:v>
      </x:c>
      <x:c r="J177" s="3" t="s">
        <x:v>814</x:v>
      </x:c>
      <x:c r="K177" s="3" t="s">
        <x:v>75</x:v>
      </x:c>
      <x:c r="L177" s="3" t="s">
        <x:v>1398</x:v>
      </x:c>
      <x:c r="M177" s="3" t="s">
        <x:v>12</x:v>
      </x:c>
      <x:c r="N177" s="3"/>
      <x:c r="O177" s="3"/>
      <x:c r="P177" s="3"/>
      <x:c r="Q177" s="3"/>
      <x:c r="R177" s="3"/>
    </x:row>
    <x:row r="178" ht="70" customHeight="1">
      <x:c r="A178" s="3" t="s">
        <x:v>1399</x:v>
      </x:c>
      <x:c r="B178" s="3" t="s">
        <x:v>651</x:v>
      </x:c>
      <x:c r="C178" s="3" t="s">
        <x:v>1400</x:v>
      </x:c>
      <x:c r="D178" s="3" t="s">
        <x:v>1401</x:v>
      </x:c>
      <x:c r="E178" s="3" t="s">
        <x:v>1402</x:v>
      </x:c>
      <x:c r="F178" s="3" t="s">
        <x:v>297</x:v>
      </x:c>
      <x:c r="G178" s="3" t="s">
        <x:v>1403</x:v>
      </x:c>
      <x:c r="H178" s="3" t="s">
        <x:v>1404</x:v>
      </x:c>
      <x:c r="I178" s="3" t="s">
        <x:v>1405</x:v>
      </x:c>
      <x:c r="J178" s="3" t="s">
        <x:v>658</x:v>
      </x:c>
      <x:c r="K178" s="3" t="s">
        <x:v>75</x:v>
      </x:c>
      <x:c r="L178" s="3" t="s">
        <x:v>1406</x:v>
      </x:c>
      <x:c r="M178" s="3" t="s">
        <x:v>12</x:v>
      </x:c>
      <x:c r="N178" s="3"/>
      <x:c r="O178" s="3"/>
      <x:c r="P178" s="3"/>
      <x:c r="Q178" s="3"/>
      <x:c r="R178" s="3"/>
    </x:row>
    <x:row r="179" ht="70" customHeight="1">
      <x:c r="A179" s="3" t="s">
        <x:v>1407</x:v>
      </x:c>
      <x:c r="B179" s="3" t="s">
        <x:v>651</x:v>
      </x:c>
      <x:c r="C179" s="3" t="s">
        <x:v>1408</x:v>
      </x:c>
      <x:c r="D179" s="3" t="s">
        <x:v>1409</x:v>
      </x:c>
      <x:c r="E179" s="3" t="s">
        <x:v>1410</x:v>
      </x:c>
      <x:c r="F179" s="3" t="s">
        <x:v>297</x:v>
      </x:c>
      <x:c r="G179" s="3" t="s">
        <x:v>1411</x:v>
      </x:c>
      <x:c r="H179" s="3" t="s">
        <x:v>1412</x:v>
      </x:c>
      <x:c r="I179" s="3" t="s">
        <x:v>1413</x:v>
      </x:c>
      <x:c r="J179" s="3" t="s">
        <x:v>814</x:v>
      </x:c>
      <x:c r="K179" s="3" t="s">
        <x:v>75</x:v>
      </x:c>
      <x:c r="L179" s="3" t="s">
        <x:v>1414</x:v>
      </x:c>
      <x:c r="M179" s="3" t="s">
        <x:v>12</x:v>
      </x:c>
      <x:c r="N179" s="3"/>
      <x:c r="O179" s="3"/>
      <x:c r="P179" s="3"/>
      <x:c r="Q179" s="3"/>
      <x:c r="R179" s="3"/>
    </x:row>
    <x:row r="180" ht="70" customHeight="1">
      <x:c r="A180" s="3" t="s">
        <x:v>1415</x:v>
      </x:c>
      <x:c r="B180" s="3" t="s">
        <x:v>651</x:v>
      </x:c>
      <x:c r="C180" s="3" t="s">
        <x:v>1416</x:v>
      </x:c>
      <x:c r="D180" s="3" t="s">
        <x:v>1417</x:v>
      </x:c>
      <x:c r="E180" s="3" t="s">
        <x:v>1418</x:v>
      </x:c>
      <x:c r="F180" s="3" t="s">
        <x:v>297</x:v>
      </x:c>
      <x:c r="G180" s="3" t="s">
        <x:v>1419</x:v>
      </x:c>
      <x:c r="H180" s="3" t="s">
        <x:v>1420</x:v>
      </x:c>
      <x:c r="I180" s="3" t="s">
        <x:v>1421</x:v>
      </x:c>
      <x:c r="J180" s="3" t="s">
        <x:v>658</x:v>
      </x:c>
      <x:c r="K180" s="3" t="s">
        <x:v>75</x:v>
      </x:c>
      <x:c r="L180" s="3" t="s">
        <x:v>1422</x:v>
      </x:c>
      <x:c r="M180" s="3" t="s">
        <x:v>12</x:v>
      </x:c>
      <x:c r="N180" s="3"/>
      <x:c r="O180" s="3"/>
      <x:c r="P180" s="3"/>
      <x:c r="Q180" s="3"/>
      <x:c r="R180" s="3"/>
    </x:row>
    <x:row r="181" ht="70" customHeight="1">
      <x:c r="A181" s="3" t="s">
        <x:v>1423</x:v>
      </x:c>
      <x:c r="B181" s="3" t="s">
        <x:v>651</x:v>
      </x:c>
      <x:c r="C181" s="3" t="s">
        <x:v>1424</x:v>
      </x:c>
      <x:c r="D181" s="3" t="s">
        <x:v>1425</x:v>
      </x:c>
      <x:c r="E181" s="3" t="s">
        <x:v>1426</x:v>
      </x:c>
      <x:c r="F181" s="3" t="s">
        <x:v>1427</x:v>
      </x:c>
      <x:c r="G181" s="3" t="s">
        <x:v>1428</x:v>
      </x:c>
      <x:c r="H181" s="3" t="s">
        <x:v>1429</x:v>
      </x:c>
      <x:c r="I181" s="3" t="s">
        <x:v>1430</x:v>
      </x:c>
      <x:c r="J181" s="3" t="s">
        <x:v>814</x:v>
      </x:c>
      <x:c r="K181" s="3" t="s">
        <x:v>75</x:v>
      </x:c>
      <x:c r="L181" s="3" t="s">
        <x:v>1431</x:v>
      </x:c>
      <x:c r="M181" s="3" t="s">
        <x:v>12</x:v>
      </x:c>
      <x:c r="N181" s="3"/>
      <x:c r="O181" s="3"/>
      <x:c r="P181" s="3"/>
      <x:c r="Q181" s="3"/>
      <x:c r="R181" s="3"/>
    </x:row>
    <x:row r="182" ht="70" customHeight="1">
      <x:c r="A182" s="3" t="s">
        <x:v>1432</x:v>
      </x:c>
      <x:c r="B182" s="3" t="s">
        <x:v>651</x:v>
      </x:c>
      <x:c r="C182" s="3" t="s">
        <x:v>1433</x:v>
      </x:c>
      <x:c r="D182" s="3" t="s">
        <x:v>1434</x:v>
      </x:c>
      <x:c r="E182" s="3" t="s">
        <x:v>1435</x:v>
      </x:c>
      <x:c r="F182" s="3" t="s">
        <x:v>1427</x:v>
      </x:c>
      <x:c r="G182" s="3" t="s">
        <x:v>1436</x:v>
      </x:c>
      <x:c r="H182" s="3"/>
      <x:c r="I182" s="3" t="s">
        <x:v>1437</x:v>
      </x:c>
      <x:c r="J182" s="3" t="s">
        <x:v>871</x:v>
      </x:c>
      <x:c r="K182" s="3" t="s">
        <x:v>1054</x:v>
      </x:c>
      <x:c r="L182" s="3" t="s">
        <x:v>1438</x:v>
      </x:c>
      <x:c r="M182" s="3" t="s">
        <x:v>12</x:v>
      </x:c>
      <x:c r="N182" s="3"/>
      <x:c r="O182" s="3"/>
      <x:c r="P182" s="3"/>
      <x:c r="Q182" s="3"/>
      <x:c r="R182" s="3"/>
    </x:row>
    <x:row r="183" ht="70" customHeight="1">
      <x:c r="A183" s="3" t="s">
        <x:v>1439</x:v>
      </x:c>
      <x:c r="B183" s="3" t="s">
        <x:v>651</x:v>
      </x:c>
      <x:c r="C183" s="3" t="s">
        <x:v>1440</x:v>
      </x:c>
      <x:c r="D183" s="3" t="s">
        <x:v>1441</x:v>
      </x:c>
      <x:c r="E183" s="3" t="s">
        <x:v>1442</x:v>
      </x:c>
      <x:c r="F183" s="3" t="s">
        <x:v>1427</x:v>
      </x:c>
      <x:c r="G183" s="3" t="s">
        <x:v>1344</x:v>
      </x:c>
      <x:c r="H183" s="3" t="s">
        <x:v>1443</x:v>
      </x:c>
      <x:c r="I183" s="3" t="s">
        <x:v>1444</x:v>
      </x:c>
      <x:c r="J183" s="3" t="s">
        <x:v>658</x:v>
      </x:c>
      <x:c r="K183" s="3" t="s">
        <x:v>75</x:v>
      </x:c>
      <x:c r="L183" s="3" t="s">
        <x:v>1445</x:v>
      </x:c>
      <x:c r="M183" s="3" t="s">
        <x:v>12</x:v>
      </x:c>
      <x:c r="N183" s="3"/>
      <x:c r="O183" s="3"/>
      <x:c r="P183" s="3"/>
      <x:c r="Q183" s="3"/>
      <x:c r="R183" s="3"/>
    </x:row>
    <x:row r="184" ht="70" customHeight="1">
      <x:c r="A184" s="3" t="s">
        <x:v>1446</x:v>
      </x:c>
      <x:c r="B184" s="3" t="s">
        <x:v>651</x:v>
      </x:c>
      <x:c r="C184" s="3" t="s">
        <x:v>1447</x:v>
      </x:c>
      <x:c r="D184" s="3" t="s">
        <x:v>1448</x:v>
      </x:c>
      <x:c r="E184" s="3" t="s">
        <x:v>1449</x:v>
      </x:c>
      <x:c r="F184" s="3" t="s">
        <x:v>163</x:v>
      </x:c>
      <x:c r="G184" s="3" t="s">
        <x:v>1450</x:v>
      </x:c>
      <x:c r="H184" s="3" t="s">
        <x:v>1451</x:v>
      </x:c>
      <x:c r="I184" s="3" t="s">
        <x:v>1452</x:v>
      </x:c>
      <x:c r="J184" s="3" t="s">
        <x:v>757</x:v>
      </x:c>
      <x:c r="K184" s="3" t="s">
        <x:v>75</x:v>
      </x:c>
      <x:c r="L184" s="3" t="s">
        <x:v>1453</x:v>
      </x:c>
      <x:c r="M184" s="3" t="s">
        <x:v>12</x:v>
      </x:c>
      <x:c r="N184" s="3"/>
      <x:c r="O184" s="3"/>
      <x:c r="P184" s="3"/>
      <x:c r="Q184" s="3"/>
      <x:c r="R184" s="3"/>
    </x:row>
    <x:row r="185" ht="70" customHeight="1">
      <x:c r="A185" s="3" t="s">
        <x:v>1454</x:v>
      </x:c>
      <x:c r="B185" s="3" t="s">
        <x:v>651</x:v>
      </x:c>
      <x:c r="C185" s="3" t="s">
        <x:v>1455</x:v>
      </x:c>
      <x:c r="D185" s="3" t="s">
        <x:v>1456</x:v>
      </x:c>
      <x:c r="E185" s="3" t="s">
        <x:v>1457</x:v>
      </x:c>
      <x:c r="F185" s="3" t="s">
        <x:v>163</x:v>
      </x:c>
      <x:c r="G185" s="3" t="s">
        <x:v>1458</x:v>
      </x:c>
      <x:c r="H185" s="3" t="s">
        <x:v>1459</x:v>
      </x:c>
      <x:c r="I185" s="3" t="s">
        <x:v>1460</x:v>
      </x:c>
      <x:c r="J185" s="3" t="s">
        <x:v>1461</x:v>
      </x:c>
      <x:c r="K185" s="3" t="s">
        <x:v>75</x:v>
      </x:c>
      <x:c r="L185" s="3" t="s">
        <x:v>1462</x:v>
      </x:c>
      <x:c r="M185" s="3" t="s">
        <x:v>12</x:v>
      </x:c>
      <x:c r="N185" s="3"/>
      <x:c r="O185" s="3"/>
      <x:c r="P185" s="3"/>
      <x:c r="Q185" s="3"/>
      <x:c r="R185" s="3"/>
    </x:row>
    <x:row r="186" ht="70" customHeight="1">
      <x:c r="A186" s="3" t="s">
        <x:v>1463</x:v>
      </x:c>
      <x:c r="B186" s="3" t="s">
        <x:v>651</x:v>
      </x:c>
      <x:c r="C186" s="3" t="s">
        <x:v>1464</x:v>
      </x:c>
      <x:c r="D186" s="3" t="s">
        <x:v>1465</x:v>
      </x:c>
      <x:c r="E186" s="3" t="s">
        <x:v>1466</x:v>
      </x:c>
      <x:c r="F186" s="3" t="s">
        <x:v>163</x:v>
      </x:c>
      <x:c r="G186" s="3" t="s">
        <x:v>1467</x:v>
      </x:c>
      <x:c r="H186" s="3" t="s">
        <x:v>1468</x:v>
      </x:c>
      <x:c r="I186" s="3" t="s">
        <x:v>1469</x:v>
      </x:c>
      <x:c r="J186" s="3" t="s">
        <x:v>757</x:v>
      </x:c>
      <x:c r="K186" s="3" t="s">
        <x:v>75</x:v>
      </x:c>
      <x:c r="L186" s="3" t="s">
        <x:v>1470</x:v>
      </x:c>
      <x:c r="M186" s="3" t="s">
        <x:v>12</x:v>
      </x:c>
      <x:c r="N186" s="3"/>
      <x:c r="O186" s="3"/>
      <x:c r="P186" s="3"/>
      <x:c r="Q186" s="3"/>
      <x:c r="R186" s="3"/>
    </x:row>
    <x:row r="187" ht="70" customHeight="1">
      <x:c r="A187" s="3" t="s">
        <x:v>1471</x:v>
      </x:c>
      <x:c r="B187" s="3" t="s">
        <x:v>651</x:v>
      </x:c>
      <x:c r="C187" s="3" t="s">
        <x:v>1472</x:v>
      </x:c>
      <x:c r="D187" s="3" t="s">
        <x:v>1473</x:v>
      </x:c>
      <x:c r="E187" s="3" t="s">
        <x:v>1474</x:v>
      </x:c>
      <x:c r="F187" s="3" t="s">
        <x:v>163</x:v>
      </x:c>
      <x:c r="G187" s="3" t="s">
        <x:v>1475</x:v>
      </x:c>
      <x:c r="H187" s="3" t="s">
        <x:v>1476</x:v>
      </x:c>
      <x:c r="I187" s="3" t="s">
        <x:v>1477</x:v>
      </x:c>
      <x:c r="J187" s="3" t="s">
        <x:v>871</x:v>
      </x:c>
      <x:c r="K187" s="3" t="s">
        <x:v>75</x:v>
      </x:c>
      <x:c r="L187" s="3" t="s">
        <x:v>1478</x:v>
      </x:c>
      <x:c r="M187" s="3" t="s">
        <x:v>12</x:v>
      </x:c>
      <x:c r="N187" s="3"/>
      <x:c r="O187" s="3"/>
      <x:c r="P187" s="3"/>
      <x:c r="Q187" s="3"/>
      <x:c r="R187" s="3"/>
    </x:row>
    <x:row r="188" ht="70" customHeight="1">
      <x:c r="A188" s="3" t="s">
        <x:v>1479</x:v>
      </x:c>
      <x:c r="B188" s="3" t="s">
        <x:v>651</x:v>
      </x:c>
      <x:c r="C188" s="3" t="s">
        <x:v>1480</x:v>
      </x:c>
      <x:c r="D188" s="3" t="s">
        <x:v>1481</x:v>
      </x:c>
      <x:c r="E188" s="3" t="s">
        <x:v>1482</x:v>
      </x:c>
      <x:c r="F188" s="3" t="s">
        <x:v>163</x:v>
      </x:c>
      <x:c r="G188" s="3" t="s">
        <x:v>1138</x:v>
      </x:c>
      <x:c r="H188" s="3" t="s">
        <x:v>1483</x:v>
      </x:c>
      <x:c r="I188" s="3" t="s">
        <x:v>1484</x:v>
      </x:c>
      <x:c r="J188" s="3" t="s">
        <x:v>814</x:v>
      </x:c>
      <x:c r="K188" s="3" t="s">
        <x:v>75</x:v>
      </x:c>
      <x:c r="L188" s="3" t="s">
        <x:v>1485</x:v>
      </x:c>
      <x:c r="M188" s="3" t="s">
        <x:v>12</x:v>
      </x:c>
      <x:c r="N188" s="3"/>
      <x:c r="O188" s="3"/>
      <x:c r="P188" s="3"/>
      <x:c r="Q188" s="3"/>
      <x:c r="R188" s="3"/>
    </x:row>
    <x:row r="189" ht="70" customHeight="1">
      <x:c r="A189" s="3" t="s">
        <x:v>1486</x:v>
      </x:c>
      <x:c r="B189" s="3" t="s">
        <x:v>651</x:v>
      </x:c>
      <x:c r="C189" s="3" t="s">
        <x:v>1487</x:v>
      </x:c>
      <x:c r="D189" s="3" t="s">
        <x:v>1488</x:v>
      </x:c>
      <x:c r="E189" s="3" t="s">
        <x:v>1489</x:v>
      </x:c>
      <x:c r="F189" s="3" t="s">
        <x:v>1490</x:v>
      </x:c>
      <x:c r="G189" s="3" t="s">
        <x:v>1491</x:v>
      </x:c>
      <x:c r="H189" s="3" t="s">
        <x:v>1492</x:v>
      </x:c>
      <x:c r="I189" s="3" t="s">
        <x:v>1493</x:v>
      </x:c>
      <x:c r="J189" s="3" t="s">
        <x:v>757</x:v>
      </x:c>
      <x:c r="K189" s="3" t="s">
        <x:v>75</x:v>
      </x:c>
      <x:c r="L189" s="3" t="s">
        <x:v>1494</x:v>
      </x:c>
      <x:c r="M189" s="3" t="s">
        <x:v>12</x:v>
      </x:c>
      <x:c r="N189" s="3"/>
      <x:c r="O189" s="3"/>
      <x:c r="P189" s="3"/>
      <x:c r="Q189" s="3"/>
      <x:c r="R189" s="3"/>
    </x:row>
    <x:row r="190" ht="70" customHeight="1">
      <x:c r="A190" s="3" t="s">
        <x:v>1495</x:v>
      </x:c>
      <x:c r="B190" s="3" t="s">
        <x:v>651</x:v>
      </x:c>
      <x:c r="C190" s="3" t="s">
        <x:v>1496</x:v>
      </x:c>
      <x:c r="D190" s="3"/>
      <x:c r="E190" s="3" t="s">
        <x:v>1497</x:v>
      </x:c>
      <x:c r="F190" s="3" t="s">
        <x:v>1490</x:v>
      </x:c>
      <x:c r="G190" s="3" t="s">
        <x:v>1367</x:v>
      </x:c>
      <x:c r="H190" s="3" t="s">
        <x:v>1498</x:v>
      </x:c>
      <x:c r="I190" s="3" t="s">
        <x:v>1499</x:v>
      </x:c>
      <x:c r="J190" s="3" t="s">
        <x:v>1093</x:v>
      </x:c>
      <x:c r="K190" s="3" t="s">
        <x:v>75</x:v>
      </x:c>
      <x:c r="L190" s="3" t="s">
        <x:v>1500</x:v>
      </x:c>
      <x:c r="M190" s="3" t="s">
        <x:v>12</x:v>
      </x:c>
      <x:c r="N190" s="3"/>
      <x:c r="O190" s="3"/>
      <x:c r="P190" s="3"/>
      <x:c r="Q190" s="3"/>
      <x:c r="R190" s="3"/>
    </x:row>
  </x:sheetData>
  <x:mergeCells>
    <x:mergeCell ref="A1:R1"/>
    <x:mergeCell ref="A2:R2"/>
  </x:mergeCells>
  <x:conditionalFormatting sqref="N5:N190">
    <x:cfRule type="expression" dxfId="0" priority="3">
      <x:formula>$N5="Include"</x:formula>
    </x:cfRule>
    <x:cfRule type="expression" dxfId="0" priority="2">
      <x:formula>$N5="Exclude"</x:formula>
    </x:cfRule>
  </x:conditionalFormatting>
  <x:conditionalFormatting sqref="O5:O190">
    <x:cfRule type="expression" dxfId="0" priority="1">
      <x:formula>AND($N5="Exclude",$O5="")</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10" defaultRowHeight="15"/>
  <x:cols>
    <x:col min="1" max="1" width="14.710000038146973" hidden="0" customWidth="1"/>
    <x:col min="2" max="2" width="70.70999908447266" hidden="0" customWidth="1"/>
    <x:col min="3" max="3" width="14.710000038146973" hidden="0" customWidth="1"/>
    <x:col min="4" max="4" width="14.710000038146973" hidden="0" customWidth="1"/>
    <x:col min="5" max="5" width="24.709999084472656" hidden="0" customWidth="1"/>
    <x:col min="6" max="6" width="24.709999084472656" hidden="0" customWidth="1"/>
    <x:col min="7" max="7" width="24.709999084472656" hidden="0" customWidth="1"/>
    <x:col min="8" max="8" width="24.709999084472656" hidden="0" customWidth="1"/>
    <x:col min="9" max="9" width="24.709999084472656" hidden="0" customWidth="1"/>
    <x:col min="10" max="10" width="24.709999084472656" hidden="0" customWidth="1"/>
    <x:col min="11" max="11" width="24.709999084472656" hidden="0" customWidth="1"/>
    <x:col min="12" max="12" width="24.709999084472656" hidden="0" customWidth="1"/>
    <x:col min="13" max="13" width="24.709999084472656" hidden="0" customWidth="1"/>
  </x:cols>
  <x:sheetData>
    <x:row r="1">
      <x:c r="A1" s="1" t="s">
        <x:v>1502</x:v>
      </x:c>
      <x:c r="B1" s="1"/>
      <x:c r="C1" s="1"/>
      <x:c r="D1" s="1"/>
      <x:c r="E1" s="1"/>
      <x:c r="F1" s="1"/>
      <x:c r="G1" s="1"/>
      <x:c r="H1" s="1"/>
      <x:c r="I1" s="1"/>
      <x:c r="J1" s="1"/>
      <x:c r="K1" s="1"/>
      <x:c r="L1" s="1"/>
      <x:c r="M1" s="1"/>
    </x:row>
    <x:row r="3">
      <x:c r="A3" s="2" t="s">
        <x:v>35</x:v>
      </x:c>
      <x:c r="B3" s="2" t="s">
        <x:v>37</x:v>
      </x:c>
      <x:c r="C3" s="2" t="s">
        <x:v>40</x:v>
      </x:c>
      <x:c r="D3" s="2" t="s">
        <x:v>41</x:v>
      </x:c>
      <x:c r="E3" s="2" t="s">
        <x:v>1503</x:v>
      </x:c>
      <x:c r="F3" s="2" t="s">
        <x:v>1504</x:v>
      </x:c>
      <x:c r="G3" s="2" t="s">
        <x:v>1505</x:v>
      </x:c>
      <x:c r="H3" s="2" t="s">
        <x:v>1506</x:v>
      </x:c>
      <x:c r="I3" s="2" t="s">
        <x:v>1507</x:v>
      </x:c>
      <x:c r="J3" s="2" t="s">
        <x:v>1508</x:v>
      </x:c>
      <x:c r="K3" s="2" t="s">
        <x:v>1509</x:v>
      </x:c>
      <x:c r="L3" s="2" t="s">
        <x:v>1510</x:v>
      </x:c>
      <x:c r="M3" s="2" t="s">
        <x:v>1511</x:v>
      </x:c>
    </x:row>
    <x:row r="4">
      <x:c r="A4" s="3" t="s">
        <x:v>53</x:v>
      </x:c>
      <x:c r="B4" s="3" t="s">
        <x:v>55</x:v>
      </x:c>
      <x:c r="C4" s="3" t="s">
        <x:v>58</x:v>
      </x:c>
      <x:c r="D4" s="3" t="s">
        <x:v>59</x:v>
      </x:c>
      <x:c r="E4" s="3" t="str">
        <x:f>='Reviewer_1'!N5</x:f>
        <x:v>Exclude</x:v>
      </x:c>
      <x:c r="F4" s="3" t="n">
        <x:f>='Reviewer_2'!N5</x:f>
        <x:v>0</x:v>
      </x:c>
      <x:c r="G4" s="3" t="str">
        <x:f>=IF(OR(E4="",F4=""),"Pending",IF(E4=F4,"Agree","Disagree"))</x:f>
        <x:v>Pending</x:v>
      </x:c>
      <x:c r="H4" s="3" t="str">
        <x:f>=IF(G4="Disagree","Conflict",IF(G4="Agree","No conflict","Pending"))</x:f>
        <x:v>Pending</x:v>
      </x:c>
      <x:c r="I4" s="3"/>
      <x:c r="J4" s="3"/>
      <x:c r="K4" s="3" t="s">
        <x:v>1512</x:v>
      </x:c>
      <x:c r="L4" s="3"/>
      <x:c r="M4" s="3"/>
    </x:row>
    <x:row r="5">
      <x:c r="A5" s="3" t="s">
        <x:v>65</x:v>
      </x:c>
      <x:c r="B5" s="3" t="s">
        <x:v>67</x:v>
      </x:c>
      <x:c r="C5" s="3" t="s">
        <x:v>70</x:v>
      </x:c>
      <x:c r="D5" s="3" t="s">
        <x:v>71</x:v>
      </x:c>
      <x:c r="E5" s="3" t="str">
        <x:f>='Reviewer_1'!N6</x:f>
        <x:v>Include</x:v>
      </x:c>
      <x:c r="F5" s="3" t="n">
        <x:f>='Reviewer_2'!N6</x:f>
        <x:v>0</x:v>
      </x:c>
      <x:c r="G5" s="3" t="str">
        <x:f>=IF(OR(E5="",F5=""),"Pending",IF(E5=F5,"Agree","Disagree"))</x:f>
        <x:v>Pending</x:v>
      </x:c>
      <x:c r="H5" s="3" t="str">
        <x:f>=IF(G5="Disagree","Conflict",IF(G5="Agree","No conflict","Pending"))</x:f>
        <x:v>Pending</x:v>
      </x:c>
      <x:c r="I5" s="3"/>
      <x:c r="J5" s="3"/>
      <x:c r="K5" s="3" t="s">
        <x:v>1512</x:v>
      </x:c>
      <x:c r="L5" s="3"/>
      <x:c r="M5" s="3"/>
    </x:row>
    <x:row r="6">
      <x:c r="A6" s="3" t="s">
        <x:v>77</x:v>
      </x:c>
      <x:c r="B6" s="3" t="s">
        <x:v>78</x:v>
      </x:c>
      <x:c r="C6" s="3" t="s">
        <x:v>81</x:v>
      </x:c>
      <x:c r="D6" s="3" t="s">
        <x:v>82</x:v>
      </x:c>
      <x:c r="E6" s="3" t="str">
        <x:f>='Reviewer_1'!N7</x:f>
        <x:v>Exclude</x:v>
      </x:c>
      <x:c r="F6" s="3" t="n">
        <x:f>='Reviewer_2'!N7</x:f>
        <x:v>0</x:v>
      </x:c>
      <x:c r="G6" s="3" t="str">
        <x:f>=IF(OR(E6="",F6=""),"Pending",IF(E6=F6,"Agree","Disagree"))</x:f>
        <x:v>Pending</x:v>
      </x:c>
      <x:c r="H6" s="3" t="str">
        <x:f>=IF(G6="Disagree","Conflict",IF(G6="Agree","No conflict","Pending"))</x:f>
        <x:v>Pending</x:v>
      </x:c>
      <x:c r="I6" s="3"/>
      <x:c r="J6" s="3"/>
      <x:c r="K6" s="3" t="s">
        <x:v>1512</x:v>
      </x:c>
      <x:c r="L6" s="3"/>
      <x:c r="M6" s="3"/>
    </x:row>
    <x:row r="7">
      <x:c r="A7" s="3" t="s">
        <x:v>88</x:v>
      </x:c>
      <x:c r="B7" s="3" t="s">
        <x:v>89</x:v>
      </x:c>
      <x:c r="C7" s="3" t="s">
        <x:v>92</x:v>
      </x:c>
      <x:c r="D7" s="3" t="s">
        <x:v>93</x:v>
      </x:c>
      <x:c r="E7" s="3" t="str">
        <x:f>='Reviewer_1'!N8</x:f>
        <x:v>Include</x:v>
      </x:c>
      <x:c r="F7" s="3" t="n">
        <x:f>='Reviewer_2'!N8</x:f>
        <x:v>0</x:v>
      </x:c>
      <x:c r="G7" s="3" t="str">
        <x:f>=IF(OR(E7="",F7=""),"Pending",IF(E7=F7,"Agree","Disagree"))</x:f>
        <x:v>Pending</x:v>
      </x:c>
      <x:c r="H7" s="3" t="str">
        <x:f>=IF(G7="Disagree","Conflict",IF(G7="Agree","No conflict","Pending"))</x:f>
        <x:v>Pending</x:v>
      </x:c>
      <x:c r="I7" s="3"/>
      <x:c r="J7" s="3"/>
      <x:c r="K7" s="3" t="s">
        <x:v>1512</x:v>
      </x:c>
      <x:c r="L7" s="3"/>
      <x:c r="M7" s="3"/>
    </x:row>
    <x:row r="8">
      <x:c r="A8" s="3" t="s">
        <x:v>98</x:v>
      </x:c>
      <x:c r="B8" s="3" t="s">
        <x:v>99</x:v>
      </x:c>
      <x:c r="C8" s="3" t="s">
        <x:v>58</x:v>
      </x:c>
      <x:c r="D8" s="3" t="s">
        <x:v>102</x:v>
      </x:c>
      <x:c r="E8" s="3" t="str">
        <x:f>='Reviewer_1'!N9</x:f>
        <x:v>Exclude</x:v>
      </x:c>
      <x:c r="F8" s="3" t="n">
        <x:f>='Reviewer_2'!N9</x:f>
        <x:v>0</x:v>
      </x:c>
      <x:c r="G8" s="3" t="str">
        <x:f>=IF(OR(E8="",F8=""),"Pending",IF(E8=F8,"Agree","Disagree"))</x:f>
        <x:v>Pending</x:v>
      </x:c>
      <x:c r="H8" s="3" t="str">
        <x:f>=IF(G8="Disagree","Conflict",IF(G8="Agree","No conflict","Pending"))</x:f>
        <x:v>Pending</x:v>
      </x:c>
      <x:c r="I8" s="3"/>
      <x:c r="J8" s="3"/>
      <x:c r="K8" s="3" t="s">
        <x:v>1512</x:v>
      </x:c>
      <x:c r="L8" s="3"/>
      <x:c r="M8" s="3"/>
    </x:row>
    <x:row r="9">
      <x:c r="A9" s="3" t="s">
        <x:v>107</x:v>
      </x:c>
      <x:c r="B9" s="3" t="s">
        <x:v>108</x:v>
      </x:c>
      <x:c r="C9" s="3" t="s">
        <x:v>70</x:v>
      </x:c>
      <x:c r="D9" s="3" t="s">
        <x:v>111</x:v>
      </x:c>
      <x:c r="E9" s="3" t="str">
        <x:f>='Reviewer_1'!N10</x:f>
        <x:v>Exclude</x:v>
      </x:c>
      <x:c r="F9" s="3" t="n">
        <x:f>='Reviewer_2'!N10</x:f>
        <x:v>0</x:v>
      </x:c>
      <x:c r="G9" s="3" t="str">
        <x:f>=IF(OR(E9="",F9=""),"Pending",IF(E9=F9,"Agree","Disagree"))</x:f>
        <x:v>Pending</x:v>
      </x:c>
      <x:c r="H9" s="3" t="str">
        <x:f>=IF(G9="Disagree","Conflict",IF(G9="Agree","No conflict","Pending"))</x:f>
        <x:v>Pending</x:v>
      </x:c>
      <x:c r="I9" s="3"/>
      <x:c r="J9" s="3"/>
      <x:c r="K9" s="3" t="s">
        <x:v>1512</x:v>
      </x:c>
      <x:c r="L9" s="3"/>
      <x:c r="M9" s="3"/>
    </x:row>
    <x:row r="10">
      <x:c r="A10" s="3" t="s">
        <x:v>116</x:v>
      </x:c>
      <x:c r="B10" s="3" t="s">
        <x:v>117</x:v>
      </x:c>
      <x:c r="C10" s="3" t="s">
        <x:v>58</x:v>
      </x:c>
      <x:c r="D10" s="3" t="s">
        <x:v>102</x:v>
      </x:c>
      <x:c r="E10" s="3" t="str">
        <x:f>='Reviewer_1'!N11</x:f>
        <x:v>Exclude</x:v>
      </x:c>
      <x:c r="F10" s="3" t="n">
        <x:f>='Reviewer_2'!N11</x:f>
        <x:v>0</x:v>
      </x:c>
      <x:c r="G10" s="3" t="str">
        <x:f>=IF(OR(E10="",F10=""),"Pending",IF(E10=F10,"Agree","Disagree"))</x:f>
        <x:v>Pending</x:v>
      </x:c>
      <x:c r="H10" s="3" t="str">
        <x:f>=IF(G10="Disagree","Conflict",IF(G10="Agree","No conflict","Pending"))</x:f>
        <x:v>Pending</x:v>
      </x:c>
      <x:c r="I10" s="3"/>
      <x:c r="J10" s="3"/>
      <x:c r="K10" s="3" t="s">
        <x:v>1512</x:v>
      </x:c>
      <x:c r="L10" s="3"/>
      <x:c r="M10" s="3"/>
    </x:row>
    <x:row r="11">
      <x:c r="A11" s="3" t="s">
        <x:v>123</x:v>
      </x:c>
      <x:c r="B11" s="3" t="s">
        <x:v>124</x:v>
      </x:c>
      <x:c r="C11" s="3" t="s">
        <x:v>92</x:v>
      </x:c>
      <x:c r="D11" s="3" t="s">
        <x:v>127</x:v>
      </x:c>
      <x:c r="E11" s="3" t="str">
        <x:f>='Reviewer_1'!N12</x:f>
        <x:v>Exclude</x:v>
      </x:c>
      <x:c r="F11" s="3" t="n">
        <x:f>='Reviewer_2'!N12</x:f>
        <x:v>0</x:v>
      </x:c>
      <x:c r="G11" s="3" t="str">
        <x:f>=IF(OR(E11="",F11=""),"Pending",IF(E11=F11,"Agree","Disagree"))</x:f>
        <x:v>Pending</x:v>
      </x:c>
      <x:c r="H11" s="3" t="str">
        <x:f>=IF(G11="Disagree","Conflict",IF(G11="Agree","No conflict","Pending"))</x:f>
        <x:v>Pending</x:v>
      </x:c>
      <x:c r="I11" s="3"/>
      <x:c r="J11" s="3"/>
      <x:c r="K11" s="3" t="s">
        <x:v>1512</x:v>
      </x:c>
      <x:c r="L11" s="3"/>
      <x:c r="M11" s="3"/>
    </x:row>
    <x:row r="12">
      <x:c r="A12" s="3" t="s">
        <x:v>132</x:v>
      </x:c>
      <x:c r="B12" s="3" t="s">
        <x:v>133</x:v>
      </x:c>
      <x:c r="C12" s="3" t="s">
        <x:v>70</x:v>
      </x:c>
      <x:c r="D12" s="3" t="s">
        <x:v>136</x:v>
      </x:c>
      <x:c r="E12" s="3" t="str">
        <x:f>='Reviewer_1'!N13</x:f>
        <x:v>Exclude</x:v>
      </x:c>
      <x:c r="F12" s="3" t="n">
        <x:f>='Reviewer_2'!N13</x:f>
        <x:v>0</x:v>
      </x:c>
      <x:c r="G12" s="3" t="str">
        <x:f>=IF(OR(E12="",F12=""),"Pending",IF(E12=F12,"Agree","Disagree"))</x:f>
        <x:v>Pending</x:v>
      </x:c>
      <x:c r="H12" s="3" t="str">
        <x:f>=IF(G12="Disagree","Conflict",IF(G12="Agree","No conflict","Pending"))</x:f>
        <x:v>Pending</x:v>
      </x:c>
      <x:c r="I12" s="3"/>
      <x:c r="J12" s="3"/>
      <x:c r="K12" s="3" t="s">
        <x:v>1512</x:v>
      </x:c>
      <x:c r="L12" s="3"/>
      <x:c r="M12" s="3"/>
    </x:row>
    <x:row r="13">
      <x:c r="A13" s="3" t="s">
        <x:v>141</x:v>
      </x:c>
      <x:c r="B13" s="3" t="s">
        <x:v>142</x:v>
      </x:c>
      <x:c r="C13" s="3" t="s">
        <x:v>58</x:v>
      </x:c>
      <x:c r="D13" s="3" t="s">
        <x:v>145</x:v>
      </x:c>
      <x:c r="E13" s="3" t="str">
        <x:f>='Reviewer_1'!N14</x:f>
        <x:v>Exclude</x:v>
      </x:c>
      <x:c r="F13" s="3" t="n">
        <x:f>='Reviewer_2'!N14</x:f>
        <x:v>0</x:v>
      </x:c>
      <x:c r="G13" s="3" t="str">
        <x:f>=IF(OR(E13="",F13=""),"Pending",IF(E13=F13,"Agree","Disagree"))</x:f>
        <x:v>Pending</x:v>
      </x:c>
      <x:c r="H13" s="3" t="str">
        <x:f>=IF(G13="Disagree","Conflict",IF(G13="Agree","No conflict","Pending"))</x:f>
        <x:v>Pending</x:v>
      </x:c>
      <x:c r="I13" s="3"/>
      <x:c r="J13" s="3"/>
      <x:c r="K13" s="3" t="s">
        <x:v>1512</x:v>
      </x:c>
      <x:c r="L13" s="3"/>
      <x:c r="M13" s="3"/>
    </x:row>
    <x:row r="14">
      <x:c r="A14" s="3" t="s">
        <x:v>150</x:v>
      </x:c>
      <x:c r="B14" s="3" t="s">
        <x:v>151</x:v>
      </x:c>
      <x:c r="C14" s="3" t="s">
        <x:v>70</x:v>
      </x:c>
      <x:c r="D14" s="3" t="s">
        <x:v>154</x:v>
      </x:c>
      <x:c r="E14" s="3" t="str">
        <x:f>='Reviewer_1'!N15</x:f>
        <x:v>Include</x:v>
      </x:c>
      <x:c r="F14" s="3" t="n">
        <x:f>='Reviewer_2'!N15</x:f>
        <x:v>0</x:v>
      </x:c>
      <x:c r="G14" s="3" t="str">
        <x:f>=IF(OR(E14="",F14=""),"Pending",IF(E14=F14,"Agree","Disagree"))</x:f>
        <x:v>Pending</x:v>
      </x:c>
      <x:c r="H14" s="3" t="str">
        <x:f>=IF(G14="Disagree","Conflict",IF(G14="Agree","No conflict","Pending"))</x:f>
        <x:v>Pending</x:v>
      </x:c>
      <x:c r="I14" s="3"/>
      <x:c r="J14" s="3"/>
      <x:c r="K14" s="3" t="s">
        <x:v>1512</x:v>
      </x:c>
      <x:c r="L14" s="3"/>
      <x:c r="M14" s="3"/>
    </x:row>
    <x:row r="15">
      <x:c r="A15" s="3" t="s">
        <x:v>159</x:v>
      </x:c>
      <x:c r="B15" s="3" t="s">
        <x:v>160</x:v>
      </x:c>
      <x:c r="C15" s="3" t="s">
        <x:v>163</x:v>
      </x:c>
      <x:c r="D15" s="3" t="s">
        <x:v>164</x:v>
      </x:c>
      <x:c r="E15" s="3" t="str">
        <x:f>='Reviewer_1'!N16</x:f>
        <x:v>Unclear</x:v>
      </x:c>
      <x:c r="F15" s="3" t="n">
        <x:f>='Reviewer_2'!N16</x:f>
        <x:v>0</x:v>
      </x:c>
      <x:c r="G15" s="3" t="str">
        <x:f>=IF(OR(E15="",F15=""),"Pending",IF(E15=F15,"Agree","Disagree"))</x:f>
        <x:v>Pending</x:v>
      </x:c>
      <x:c r="H15" s="3" t="str">
        <x:f>=IF(G15="Disagree","Conflict",IF(G15="Agree","No conflict","Pending"))</x:f>
        <x:v>Pending</x:v>
      </x:c>
      <x:c r="I15" s="3"/>
      <x:c r="J15" s="3"/>
      <x:c r="K15" s="3" t="s">
        <x:v>1512</x:v>
      </x:c>
      <x:c r="L15" s="3"/>
      <x:c r="M15" s="3"/>
    </x:row>
    <x:row r="16">
      <x:c r="A16" s="3" t="s">
        <x:v>169</x:v>
      </x:c>
      <x:c r="B16" s="3" t="s">
        <x:v>170</x:v>
      </x:c>
      <x:c r="C16" s="3" t="s">
        <x:v>58</x:v>
      </x:c>
      <x:c r="D16" s="3" t="s">
        <x:v>173</x:v>
      </x:c>
      <x:c r="E16" s="3" t="str">
        <x:f>='Reviewer_1'!N17</x:f>
        <x:v>Exclude</x:v>
      </x:c>
      <x:c r="F16" s="3" t="n">
        <x:f>='Reviewer_2'!N17</x:f>
        <x:v>0</x:v>
      </x:c>
      <x:c r="G16" s="3" t="str">
        <x:f>=IF(OR(E16="",F16=""),"Pending",IF(E16=F16,"Agree","Disagree"))</x:f>
        <x:v>Pending</x:v>
      </x:c>
      <x:c r="H16" s="3" t="str">
        <x:f>=IF(G16="Disagree","Conflict",IF(G16="Agree","No conflict","Pending"))</x:f>
        <x:v>Pending</x:v>
      </x:c>
      <x:c r="I16" s="3"/>
      <x:c r="J16" s="3"/>
      <x:c r="K16" s="3" t="s">
        <x:v>1512</x:v>
      </x:c>
      <x:c r="L16" s="3"/>
      <x:c r="M16" s="3"/>
    </x:row>
    <x:row r="17">
      <x:c r="A17" s="3" t="s">
        <x:v>178</x:v>
      </x:c>
      <x:c r="B17" s="3" t="s">
        <x:v>179</x:v>
      </x:c>
      <x:c r="C17" s="3" t="s">
        <x:v>182</x:v>
      </x:c>
      <x:c r="D17" s="3" t="s">
        <x:v>183</x:v>
      </x:c>
      <x:c r="E17" s="3" t="str">
        <x:f>='Reviewer_1'!N18</x:f>
        <x:v>Exclude</x:v>
      </x:c>
      <x:c r="F17" s="3" t="n">
        <x:f>='Reviewer_2'!N18</x:f>
        <x:v>0</x:v>
      </x:c>
      <x:c r="G17" s="3" t="str">
        <x:f>=IF(OR(E17="",F17=""),"Pending",IF(E17=F17,"Agree","Disagree"))</x:f>
        <x:v>Pending</x:v>
      </x:c>
      <x:c r="H17" s="3" t="str">
        <x:f>=IF(G17="Disagree","Conflict",IF(G17="Agree","No conflict","Pending"))</x:f>
        <x:v>Pending</x:v>
      </x:c>
      <x:c r="I17" s="3"/>
      <x:c r="J17" s="3"/>
      <x:c r="K17" s="3" t="s">
        <x:v>1512</x:v>
      </x:c>
      <x:c r="L17" s="3"/>
      <x:c r="M17" s="3"/>
    </x:row>
    <x:row r="18">
      <x:c r="A18" s="3" t="s">
        <x:v>188</x:v>
      </x:c>
      <x:c r="B18" s="3" t="s">
        <x:v>189</x:v>
      </x:c>
      <x:c r="C18" s="3" t="s">
        <x:v>182</x:v>
      </x:c>
      <x:c r="D18" s="3" t="s">
        <x:v>192</x:v>
      </x:c>
      <x:c r="E18" s="3" t="str">
        <x:f>='Reviewer_1'!N19</x:f>
        <x:v>Exclude</x:v>
      </x:c>
      <x:c r="F18" s="3" t="n">
        <x:f>='Reviewer_2'!N19</x:f>
        <x:v>0</x:v>
      </x:c>
      <x:c r="G18" s="3" t="str">
        <x:f>=IF(OR(E18="",F18=""),"Pending",IF(E18=F18,"Agree","Disagree"))</x:f>
        <x:v>Pending</x:v>
      </x:c>
      <x:c r="H18" s="3" t="str">
        <x:f>=IF(G18="Disagree","Conflict",IF(G18="Agree","No conflict","Pending"))</x:f>
        <x:v>Pending</x:v>
      </x:c>
      <x:c r="I18" s="3"/>
      <x:c r="J18" s="3"/>
      <x:c r="K18" s="3" t="s">
        <x:v>1512</x:v>
      </x:c>
      <x:c r="L18" s="3"/>
      <x:c r="M18" s="3"/>
    </x:row>
    <x:row r="19">
      <x:c r="A19" s="3" t="s">
        <x:v>196</x:v>
      </x:c>
      <x:c r="B19" s="3" t="s">
        <x:v>197</x:v>
      </x:c>
      <x:c r="C19" s="3" t="s">
        <x:v>182</x:v>
      </x:c>
      <x:c r="D19" s="3" t="s">
        <x:v>200</x:v>
      </x:c>
      <x:c r="E19" s="3" t="str">
        <x:f>='Reviewer_1'!N20</x:f>
        <x:v>Include</x:v>
      </x:c>
      <x:c r="F19" s="3" t="n">
        <x:f>='Reviewer_2'!N20</x:f>
        <x:v>0</x:v>
      </x:c>
      <x:c r="G19" s="3" t="str">
        <x:f>=IF(OR(E19="",F19=""),"Pending",IF(E19=F19,"Agree","Disagree"))</x:f>
        <x:v>Pending</x:v>
      </x:c>
      <x:c r="H19" s="3" t="str">
        <x:f>=IF(G19="Disagree","Conflict",IF(G19="Agree","No conflict","Pending"))</x:f>
        <x:v>Pending</x:v>
      </x:c>
      <x:c r="I19" s="3"/>
      <x:c r="J19" s="3"/>
      <x:c r="K19" s="3" t="s">
        <x:v>1512</x:v>
      </x:c>
      <x:c r="L19" s="3"/>
      <x:c r="M19" s="3"/>
    </x:row>
    <x:row r="20">
      <x:c r="A20" s="3" t="s">
        <x:v>204</x:v>
      </x:c>
      <x:c r="B20" s="3" t="s">
        <x:v>205</x:v>
      </x:c>
      <x:c r="C20" s="3" t="s">
        <x:v>58</x:v>
      </x:c>
      <x:c r="D20" s="3" t="s">
        <x:v>208</x:v>
      </x:c>
      <x:c r="E20" s="3" t="str">
        <x:f>='Reviewer_1'!N21</x:f>
        <x:v>Exclude</x:v>
      </x:c>
      <x:c r="F20" s="3" t="n">
        <x:f>='Reviewer_2'!N21</x:f>
        <x:v>0</x:v>
      </x:c>
      <x:c r="G20" s="3" t="str">
        <x:f>=IF(OR(E20="",F20=""),"Pending",IF(E20=F20,"Agree","Disagree"))</x:f>
        <x:v>Pending</x:v>
      </x:c>
      <x:c r="H20" s="3" t="str">
        <x:f>=IF(G20="Disagree","Conflict",IF(G20="Agree","No conflict","Pending"))</x:f>
        <x:v>Pending</x:v>
      </x:c>
      <x:c r="I20" s="3"/>
      <x:c r="J20" s="3"/>
      <x:c r="K20" s="3" t="s">
        <x:v>1512</x:v>
      </x:c>
      <x:c r="L20" s="3"/>
      <x:c r="M20" s="3"/>
    </x:row>
    <x:row r="21">
      <x:c r="A21" s="3" t="s">
        <x:v>212</x:v>
      </x:c>
      <x:c r="B21" s="3" t="s">
        <x:v>213</x:v>
      </x:c>
      <x:c r="C21" s="3" t="s">
        <x:v>81</x:v>
      </x:c>
      <x:c r="D21" s="3" t="s">
        <x:v>216</x:v>
      </x:c>
      <x:c r="E21" s="3" t="str">
        <x:f>='Reviewer_1'!N22</x:f>
        <x:v>Exclude</x:v>
      </x:c>
      <x:c r="F21" s="3" t="n">
        <x:f>='Reviewer_2'!N22</x:f>
        <x:v>0</x:v>
      </x:c>
      <x:c r="G21" s="3" t="str">
        <x:f>=IF(OR(E21="",F21=""),"Pending",IF(E21=F21,"Agree","Disagree"))</x:f>
        <x:v>Pending</x:v>
      </x:c>
      <x:c r="H21" s="3" t="str">
        <x:f>=IF(G21="Disagree","Conflict",IF(G21="Agree","No conflict","Pending"))</x:f>
        <x:v>Pending</x:v>
      </x:c>
      <x:c r="I21" s="3"/>
      <x:c r="J21" s="3"/>
      <x:c r="K21" s="3" t="s">
        <x:v>1512</x:v>
      </x:c>
      <x:c r="L21" s="3"/>
      <x:c r="M21" s="3"/>
    </x:row>
    <x:row r="22">
      <x:c r="A22" s="3" t="s">
        <x:v>221</x:v>
      </x:c>
      <x:c r="B22" s="3" t="s">
        <x:v>222</x:v>
      </x:c>
      <x:c r="C22" s="3" t="s">
        <x:v>81</x:v>
      </x:c>
      <x:c r="D22" s="3" t="s">
        <x:v>225</x:v>
      </x:c>
      <x:c r="E22" s="3" t="str">
        <x:f>='Reviewer_1'!N23</x:f>
        <x:v>Exclude</x:v>
      </x:c>
      <x:c r="F22" s="3" t="n">
        <x:f>='Reviewer_2'!N23</x:f>
        <x:v>0</x:v>
      </x:c>
      <x:c r="G22" s="3" t="str">
        <x:f>=IF(OR(E22="",F22=""),"Pending",IF(E22=F22,"Agree","Disagree"))</x:f>
        <x:v>Pending</x:v>
      </x:c>
      <x:c r="H22" s="3" t="str">
        <x:f>=IF(G22="Disagree","Conflict",IF(G22="Agree","No conflict","Pending"))</x:f>
        <x:v>Pending</x:v>
      </x:c>
      <x:c r="I22" s="3"/>
      <x:c r="J22" s="3"/>
      <x:c r="K22" s="3" t="s">
        <x:v>1512</x:v>
      </x:c>
      <x:c r="L22" s="3"/>
      <x:c r="M22" s="3"/>
    </x:row>
    <x:row r="23">
      <x:c r="A23" s="3" t="s">
        <x:v>229</x:v>
      </x:c>
      <x:c r="B23" s="3" t="s">
        <x:v>230</x:v>
      </x:c>
      <x:c r="C23" s="3" t="s">
        <x:v>182</x:v>
      </x:c>
      <x:c r="D23" s="3" t="s">
        <x:v>233</x:v>
      </x:c>
      <x:c r="E23" s="3" t="str">
        <x:f>='Reviewer_1'!N24</x:f>
        <x:v>Unclear</x:v>
      </x:c>
      <x:c r="F23" s="3" t="n">
        <x:f>='Reviewer_2'!N24</x:f>
        <x:v>0</x:v>
      </x:c>
      <x:c r="G23" s="3" t="str">
        <x:f>=IF(OR(E23="",F23=""),"Pending",IF(E23=F23,"Agree","Disagree"))</x:f>
        <x:v>Pending</x:v>
      </x:c>
      <x:c r="H23" s="3" t="str">
        <x:f>=IF(G23="Disagree","Conflict",IF(G23="Agree","No conflict","Pending"))</x:f>
        <x:v>Pending</x:v>
      </x:c>
      <x:c r="I23" s="3"/>
      <x:c r="J23" s="3"/>
      <x:c r="K23" s="3" t="s">
        <x:v>1512</x:v>
      </x:c>
      <x:c r="L23" s="3"/>
      <x:c r="M23" s="3"/>
    </x:row>
    <x:row r="24">
      <x:c r="A24" s="3" t="s">
        <x:v>238</x:v>
      </x:c>
      <x:c r="B24" s="3" t="s">
        <x:v>239</x:v>
      </x:c>
      <x:c r="C24" s="3" t="s">
        <x:v>92</x:v>
      </x:c>
      <x:c r="D24" s="3" t="s">
        <x:v>208</x:v>
      </x:c>
      <x:c r="E24" s="3" t="str">
        <x:f>='Reviewer_1'!N25</x:f>
        <x:v>Exclude</x:v>
      </x:c>
      <x:c r="F24" s="3" t="n">
        <x:f>='Reviewer_2'!N25</x:f>
        <x:v>0</x:v>
      </x:c>
      <x:c r="G24" s="3" t="str">
        <x:f>=IF(OR(E24="",F24=""),"Pending",IF(E24=F24,"Agree","Disagree"))</x:f>
        <x:v>Pending</x:v>
      </x:c>
      <x:c r="H24" s="3" t="str">
        <x:f>=IF(G24="Disagree","Conflict",IF(G24="Agree","No conflict","Pending"))</x:f>
        <x:v>Pending</x:v>
      </x:c>
      <x:c r="I24" s="3"/>
      <x:c r="J24" s="3"/>
      <x:c r="K24" s="3" t="s">
        <x:v>1512</x:v>
      </x:c>
      <x:c r="L24" s="3"/>
      <x:c r="M24" s="3"/>
    </x:row>
    <x:row r="25">
      <x:c r="A25" s="3" t="s">
        <x:v>245</x:v>
      </x:c>
      <x:c r="B25" s="3" t="s">
        <x:v>246</x:v>
      </x:c>
      <x:c r="C25" s="3" t="s">
        <x:v>70</x:v>
      </x:c>
      <x:c r="D25" s="3" t="s">
        <x:v>208</x:v>
      </x:c>
      <x:c r="E25" s="3" t="str">
        <x:f>='Reviewer_1'!N26</x:f>
        <x:v>Exclude</x:v>
      </x:c>
      <x:c r="F25" s="3" t="n">
        <x:f>='Reviewer_2'!N26</x:f>
        <x:v>0</x:v>
      </x:c>
      <x:c r="G25" s="3" t="str">
        <x:f>=IF(OR(E25="",F25=""),"Pending",IF(E25=F25,"Agree","Disagree"))</x:f>
        <x:v>Pending</x:v>
      </x:c>
      <x:c r="H25" s="3" t="str">
        <x:f>=IF(G25="Disagree","Conflict",IF(G25="Agree","No conflict","Pending"))</x:f>
        <x:v>Pending</x:v>
      </x:c>
      <x:c r="I25" s="3"/>
      <x:c r="J25" s="3"/>
      <x:c r="K25" s="3" t="s">
        <x:v>1512</x:v>
      </x:c>
      <x:c r="L25" s="3"/>
      <x:c r="M25" s="3"/>
    </x:row>
    <x:row r="26">
      <x:c r="A26" s="3" t="s">
        <x:v>252</x:v>
      </x:c>
      <x:c r="B26" s="3" t="s">
        <x:v>253</x:v>
      </x:c>
      <x:c r="C26" s="3" t="s">
        <x:v>70</x:v>
      </x:c>
      <x:c r="D26" s="3" t="s">
        <x:v>256</x:v>
      </x:c>
      <x:c r="E26" s="3" t="str">
        <x:f>='Reviewer_1'!N27</x:f>
        <x:v>Include</x:v>
      </x:c>
      <x:c r="F26" s="3" t="n">
        <x:f>='Reviewer_2'!N27</x:f>
        <x:v>0</x:v>
      </x:c>
      <x:c r="G26" s="3" t="str">
        <x:f>=IF(OR(E26="",F26=""),"Pending",IF(E26=F26,"Agree","Disagree"))</x:f>
        <x:v>Pending</x:v>
      </x:c>
      <x:c r="H26" s="3" t="str">
        <x:f>=IF(G26="Disagree","Conflict",IF(G26="Agree","No conflict","Pending"))</x:f>
        <x:v>Pending</x:v>
      </x:c>
      <x:c r="I26" s="3"/>
      <x:c r="J26" s="3"/>
      <x:c r="K26" s="3" t="s">
        <x:v>1512</x:v>
      </x:c>
      <x:c r="L26" s="3"/>
      <x:c r="M26" s="3"/>
    </x:row>
    <x:row r="27">
      <x:c r="A27" s="3" t="s">
        <x:v>261</x:v>
      </x:c>
      <x:c r="B27" s="3" t="s">
        <x:v>263</x:v>
      </x:c>
      <x:c r="C27" s="3" t="s">
        <x:v>182</x:v>
      </x:c>
      <x:c r="D27" s="3" t="s">
        <x:v>164</x:v>
      </x:c>
      <x:c r="E27" s="3" t="str">
        <x:f>='Reviewer_1'!N28</x:f>
        <x:v>Exclude</x:v>
      </x:c>
      <x:c r="F27" s="3" t="n">
        <x:f>='Reviewer_2'!N28</x:f>
        <x:v>0</x:v>
      </x:c>
      <x:c r="G27" s="3" t="str">
        <x:f>=IF(OR(E27="",F27=""),"Pending",IF(E27=F27,"Agree","Disagree"))</x:f>
        <x:v>Pending</x:v>
      </x:c>
      <x:c r="H27" s="3" t="str">
        <x:f>=IF(G27="Disagree","Conflict",IF(G27="Agree","No conflict","Pending"))</x:f>
        <x:v>Pending</x:v>
      </x:c>
      <x:c r="I27" s="3"/>
      <x:c r="J27" s="3"/>
      <x:c r="K27" s="3" t="s">
        <x:v>1512</x:v>
      </x:c>
      <x:c r="L27" s="3"/>
      <x:c r="M27" s="3"/>
    </x:row>
    <x:row r="28">
      <x:c r="A28" s="3" t="s">
        <x:v>269</x:v>
      </x:c>
      <x:c r="B28" s="3" t="s">
        <x:v>270</x:v>
      </x:c>
      <x:c r="C28" s="3" t="s">
        <x:v>182</x:v>
      </x:c>
      <x:c r="D28" s="3" t="s">
        <x:v>273</x:v>
      </x:c>
      <x:c r="E28" s="3" t="str">
        <x:f>='Reviewer_1'!N29</x:f>
        <x:v>Exclude</x:v>
      </x:c>
      <x:c r="F28" s="3" t="n">
        <x:f>='Reviewer_2'!N29</x:f>
        <x:v>0</x:v>
      </x:c>
      <x:c r="G28" s="3" t="str">
        <x:f>=IF(OR(E28="",F28=""),"Pending",IF(E28=F28,"Agree","Disagree"))</x:f>
        <x:v>Pending</x:v>
      </x:c>
      <x:c r="H28" s="3" t="str">
        <x:f>=IF(G28="Disagree","Conflict",IF(G28="Agree","No conflict","Pending"))</x:f>
        <x:v>Pending</x:v>
      </x:c>
      <x:c r="I28" s="3"/>
      <x:c r="J28" s="3"/>
      <x:c r="K28" s="3" t="s">
        <x:v>1512</x:v>
      </x:c>
      <x:c r="L28" s="3"/>
      <x:c r="M28" s="3"/>
    </x:row>
    <x:row r="29">
      <x:c r="A29" s="3" t="s">
        <x:v>276</x:v>
      </x:c>
      <x:c r="B29" s="3" t="s">
        <x:v>277</x:v>
      </x:c>
      <x:c r="C29" s="3" t="s">
        <x:v>182</x:v>
      </x:c>
      <x:c r="D29" s="3" t="s">
        <x:v>280</x:v>
      </x:c>
      <x:c r="E29" s="3" t="str">
        <x:f>='Reviewer_1'!N30</x:f>
        <x:v>Unclear</x:v>
      </x:c>
      <x:c r="F29" s="3" t="n">
        <x:f>='Reviewer_2'!N30</x:f>
        <x:v>0</x:v>
      </x:c>
      <x:c r="G29" s="3" t="str">
        <x:f>=IF(OR(E29="",F29=""),"Pending",IF(E29=F29,"Agree","Disagree"))</x:f>
        <x:v>Pending</x:v>
      </x:c>
      <x:c r="H29" s="3" t="str">
        <x:f>=IF(G29="Disagree","Conflict",IF(G29="Agree","No conflict","Pending"))</x:f>
        <x:v>Pending</x:v>
      </x:c>
      <x:c r="I29" s="3"/>
      <x:c r="J29" s="3"/>
      <x:c r="K29" s="3" t="s">
        <x:v>1512</x:v>
      </x:c>
      <x:c r="L29" s="3"/>
      <x:c r="M29" s="3"/>
    </x:row>
    <x:row r="30">
      <x:c r="A30" s="3" t="s">
        <x:v>284</x:v>
      </x:c>
      <x:c r="B30" s="3" t="s">
        <x:v>285</x:v>
      </x:c>
      <x:c r="C30" s="3" t="s">
        <x:v>288</x:v>
      </x:c>
      <x:c r="D30" s="3" t="s">
        <x:v>289</x:v>
      </x:c>
      <x:c r="E30" s="3" t="str">
        <x:f>='Reviewer_1'!N31</x:f>
        <x:v>Exclude</x:v>
      </x:c>
      <x:c r="F30" s="3" t="n">
        <x:f>='Reviewer_2'!N31</x:f>
        <x:v>0</x:v>
      </x:c>
      <x:c r="G30" s="3" t="str">
        <x:f>=IF(OR(E30="",F30=""),"Pending",IF(E30=F30,"Agree","Disagree"))</x:f>
        <x:v>Pending</x:v>
      </x:c>
      <x:c r="H30" s="3" t="str">
        <x:f>=IF(G30="Disagree","Conflict",IF(G30="Agree","No conflict","Pending"))</x:f>
        <x:v>Pending</x:v>
      </x:c>
      <x:c r="I30" s="3"/>
      <x:c r="J30" s="3"/>
      <x:c r="K30" s="3" t="s">
        <x:v>1512</x:v>
      </x:c>
      <x:c r="L30" s="3"/>
      <x:c r="M30" s="3"/>
    </x:row>
    <x:row r="31">
      <x:c r="A31" s="3" t="s">
        <x:v>293</x:v>
      </x:c>
      <x:c r="B31" s="3" t="s">
        <x:v>294</x:v>
      </x:c>
      <x:c r="C31" s="3" t="s">
        <x:v>297</x:v>
      </x:c>
      <x:c r="D31" s="3" t="s">
        <x:v>298</x:v>
      </x:c>
      <x:c r="E31" s="3" t="str">
        <x:f>='Reviewer_1'!N32</x:f>
        <x:v>Exclude</x:v>
      </x:c>
      <x:c r="F31" s="3" t="n">
        <x:f>='Reviewer_2'!N32</x:f>
        <x:v>0</x:v>
      </x:c>
      <x:c r="G31" s="3" t="str">
        <x:f>=IF(OR(E31="",F31=""),"Pending",IF(E31=F31,"Agree","Disagree"))</x:f>
        <x:v>Pending</x:v>
      </x:c>
      <x:c r="H31" s="3" t="str">
        <x:f>=IF(G31="Disagree","Conflict",IF(G31="Agree","No conflict","Pending"))</x:f>
        <x:v>Pending</x:v>
      </x:c>
      <x:c r="I31" s="3"/>
      <x:c r="J31" s="3"/>
      <x:c r="K31" s="3" t="s">
        <x:v>1512</x:v>
      </x:c>
      <x:c r="L31" s="3"/>
      <x:c r="M31" s="3"/>
    </x:row>
    <x:row r="32">
      <x:c r="A32" s="3" t="s">
        <x:v>301</x:v>
      </x:c>
      <x:c r="B32" s="3" t="s">
        <x:v>302</x:v>
      </x:c>
      <x:c r="C32" s="3" t="s">
        <x:v>288</x:v>
      </x:c>
      <x:c r="D32" s="3" t="s">
        <x:v>305</x:v>
      </x:c>
      <x:c r="E32" s="3" t="str">
        <x:f>='Reviewer_1'!N33</x:f>
        <x:v>Exclude</x:v>
      </x:c>
      <x:c r="F32" s="3" t="n">
        <x:f>='Reviewer_2'!N33</x:f>
        <x:v>0</x:v>
      </x:c>
      <x:c r="G32" s="3" t="str">
        <x:f>=IF(OR(E32="",F32=""),"Pending",IF(E32=F32,"Agree","Disagree"))</x:f>
        <x:v>Pending</x:v>
      </x:c>
      <x:c r="H32" s="3" t="str">
        <x:f>=IF(G32="Disagree","Conflict",IF(G32="Agree","No conflict","Pending"))</x:f>
        <x:v>Pending</x:v>
      </x:c>
      <x:c r="I32" s="3"/>
      <x:c r="J32" s="3"/>
      <x:c r="K32" s="3" t="s">
        <x:v>1512</x:v>
      </x:c>
      <x:c r="L32" s="3"/>
      <x:c r="M32" s="3"/>
    </x:row>
    <x:row r="33">
      <x:c r="A33" s="3" t="s">
        <x:v>308</x:v>
      </x:c>
      <x:c r="B33" s="3" t="s">
        <x:v>309</x:v>
      </x:c>
      <x:c r="C33" s="3" t="s">
        <x:v>58</x:v>
      </x:c>
      <x:c r="D33" s="3" t="s">
        <x:v>312</x:v>
      </x:c>
      <x:c r="E33" s="3" t="str">
        <x:f>='Reviewer_1'!N34</x:f>
        <x:v>Exclude</x:v>
      </x:c>
      <x:c r="F33" s="3" t="n">
        <x:f>='Reviewer_2'!N34</x:f>
        <x:v>0</x:v>
      </x:c>
      <x:c r="G33" s="3" t="str">
        <x:f>=IF(OR(E33="",F33=""),"Pending",IF(E33=F33,"Agree","Disagree"))</x:f>
        <x:v>Pending</x:v>
      </x:c>
      <x:c r="H33" s="3" t="str">
        <x:f>=IF(G33="Disagree","Conflict",IF(G33="Agree","No conflict","Pending"))</x:f>
        <x:v>Pending</x:v>
      </x:c>
      <x:c r="I33" s="3"/>
      <x:c r="J33" s="3"/>
      <x:c r="K33" s="3" t="s">
        <x:v>1512</x:v>
      </x:c>
      <x:c r="L33" s="3"/>
      <x:c r="M33" s="3"/>
    </x:row>
    <x:row r="34">
      <x:c r="A34" s="3" t="s">
        <x:v>315</x:v>
      </x:c>
      <x:c r="B34" s="3" t="s">
        <x:v>316</x:v>
      </x:c>
      <x:c r="C34" s="3" t="s">
        <x:v>70</x:v>
      </x:c>
      <x:c r="D34" s="3" t="s">
        <x:v>319</x:v>
      </x:c>
      <x:c r="E34" s="3" t="str">
        <x:f>='Reviewer_1'!N35</x:f>
        <x:v>Exclude</x:v>
      </x:c>
      <x:c r="F34" s="3" t="n">
        <x:f>='Reviewer_2'!N35</x:f>
        <x:v>0</x:v>
      </x:c>
      <x:c r="G34" s="3" t="str">
        <x:f>=IF(OR(E34="",F34=""),"Pending",IF(E34=F34,"Agree","Disagree"))</x:f>
        <x:v>Pending</x:v>
      </x:c>
      <x:c r="H34" s="3" t="str">
        <x:f>=IF(G34="Disagree","Conflict",IF(G34="Agree","No conflict","Pending"))</x:f>
        <x:v>Pending</x:v>
      </x:c>
      <x:c r="I34" s="3"/>
      <x:c r="J34" s="3"/>
      <x:c r="K34" s="3" t="s">
        <x:v>1512</x:v>
      </x:c>
      <x:c r="L34" s="3"/>
      <x:c r="M34" s="3"/>
    </x:row>
    <x:row r="35">
      <x:c r="A35" s="3" t="s">
        <x:v>322</x:v>
      </x:c>
      <x:c r="B35" s="3" t="s">
        <x:v>323</x:v>
      </x:c>
      <x:c r="C35" s="3" t="s">
        <x:v>288</x:v>
      </x:c>
      <x:c r="D35" s="3" t="s">
        <x:v>326</x:v>
      </x:c>
      <x:c r="E35" s="3" t="str">
        <x:f>='Reviewer_1'!N36</x:f>
        <x:v>Exclude</x:v>
      </x:c>
      <x:c r="F35" s="3" t="n">
        <x:f>='Reviewer_2'!N36</x:f>
        <x:v>0</x:v>
      </x:c>
      <x:c r="G35" s="3" t="str">
        <x:f>=IF(OR(E35="",F35=""),"Pending",IF(E35=F35,"Agree","Disagree"))</x:f>
        <x:v>Pending</x:v>
      </x:c>
      <x:c r="H35" s="3" t="str">
        <x:f>=IF(G35="Disagree","Conflict",IF(G35="Agree","No conflict","Pending"))</x:f>
        <x:v>Pending</x:v>
      </x:c>
      <x:c r="I35" s="3"/>
      <x:c r="J35" s="3"/>
      <x:c r="K35" s="3" t="s">
        <x:v>1512</x:v>
      </x:c>
      <x:c r="L35" s="3"/>
      <x:c r="M35" s="3"/>
    </x:row>
    <x:row r="36">
      <x:c r="A36" s="3" t="s">
        <x:v>329</x:v>
      </x:c>
      <x:c r="B36" s="3" t="s">
        <x:v>330</x:v>
      </x:c>
      <x:c r="C36" s="3" t="s">
        <x:v>288</x:v>
      </x:c>
      <x:c r="D36" s="3" t="s">
        <x:v>333</x:v>
      </x:c>
      <x:c r="E36" s="3" t="str">
        <x:f>='Reviewer_1'!N37</x:f>
        <x:v>Exclude</x:v>
      </x:c>
      <x:c r="F36" s="3" t="n">
        <x:f>='Reviewer_2'!N37</x:f>
        <x:v>0</x:v>
      </x:c>
      <x:c r="G36" s="3" t="str">
        <x:f>=IF(OR(E36="",F36=""),"Pending",IF(E36=F36,"Agree","Disagree"))</x:f>
        <x:v>Pending</x:v>
      </x:c>
      <x:c r="H36" s="3" t="str">
        <x:f>=IF(G36="Disagree","Conflict",IF(G36="Agree","No conflict","Pending"))</x:f>
        <x:v>Pending</x:v>
      </x:c>
      <x:c r="I36" s="3"/>
      <x:c r="J36" s="3"/>
      <x:c r="K36" s="3" t="s">
        <x:v>1512</x:v>
      </x:c>
      <x:c r="L36" s="3"/>
      <x:c r="M36" s="3"/>
    </x:row>
    <x:row r="37">
      <x:c r="A37" s="3" t="s">
        <x:v>336</x:v>
      </x:c>
      <x:c r="B37" s="3" t="s">
        <x:v>337</x:v>
      </x:c>
      <x:c r="C37" s="3" t="s">
        <x:v>70</x:v>
      </x:c>
      <x:c r="D37" s="3" t="s">
        <x:v>340</x:v>
      </x:c>
      <x:c r="E37" s="3" t="str">
        <x:f>='Reviewer_1'!N38</x:f>
        <x:v>Exclude</x:v>
      </x:c>
      <x:c r="F37" s="3" t="n">
        <x:f>='Reviewer_2'!N38</x:f>
        <x:v>0</x:v>
      </x:c>
      <x:c r="G37" s="3" t="str">
        <x:f>=IF(OR(E37="",F37=""),"Pending",IF(E37=F37,"Agree","Disagree"))</x:f>
        <x:v>Pending</x:v>
      </x:c>
      <x:c r="H37" s="3" t="str">
        <x:f>=IF(G37="Disagree","Conflict",IF(G37="Agree","No conflict","Pending"))</x:f>
        <x:v>Pending</x:v>
      </x:c>
      <x:c r="I37" s="3"/>
      <x:c r="J37" s="3"/>
      <x:c r="K37" s="3" t="s">
        <x:v>1512</x:v>
      </x:c>
      <x:c r="L37" s="3"/>
      <x:c r="M37" s="3"/>
    </x:row>
    <x:row r="38">
      <x:c r="A38" s="3" t="s">
        <x:v>343</x:v>
      </x:c>
      <x:c r="B38" s="3" t="s">
        <x:v>344</x:v>
      </x:c>
      <x:c r="C38" s="3" t="s">
        <x:v>347</x:v>
      </x:c>
      <x:c r="D38" s="3" t="s">
        <x:v>348</x:v>
      </x:c>
      <x:c r="E38" s="3" t="str">
        <x:f>='Reviewer_1'!N39</x:f>
        <x:v>Exclude</x:v>
      </x:c>
      <x:c r="F38" s="3" t="n">
        <x:f>='Reviewer_2'!N39</x:f>
        <x:v>0</x:v>
      </x:c>
      <x:c r="G38" s="3" t="str">
        <x:f>=IF(OR(E38="",F38=""),"Pending",IF(E38=F38,"Agree","Disagree"))</x:f>
        <x:v>Pending</x:v>
      </x:c>
      <x:c r="H38" s="3" t="str">
        <x:f>=IF(G38="Disagree","Conflict",IF(G38="Agree","No conflict","Pending"))</x:f>
        <x:v>Pending</x:v>
      </x:c>
      <x:c r="I38" s="3"/>
      <x:c r="J38" s="3"/>
      <x:c r="K38" s="3" t="s">
        <x:v>1512</x:v>
      </x:c>
      <x:c r="L38" s="3"/>
      <x:c r="M38" s="3"/>
    </x:row>
    <x:row r="39">
      <x:c r="A39" s="3" t="s">
        <x:v>351</x:v>
      </x:c>
      <x:c r="B39" s="3" t="s">
        <x:v>352</x:v>
      </x:c>
      <x:c r="C39" s="3" t="s">
        <x:v>70</x:v>
      </x:c>
      <x:c r="D39" s="3" t="s">
        <x:v>355</x:v>
      </x:c>
      <x:c r="E39" s="3" t="str">
        <x:f>='Reviewer_1'!N40</x:f>
        <x:v>Exclude</x:v>
      </x:c>
      <x:c r="F39" s="3" t="n">
        <x:f>='Reviewer_2'!N40</x:f>
        <x:v>0</x:v>
      </x:c>
      <x:c r="G39" s="3" t="str">
        <x:f>=IF(OR(E39="",F39=""),"Pending",IF(E39=F39,"Agree","Disagree"))</x:f>
        <x:v>Pending</x:v>
      </x:c>
      <x:c r="H39" s="3" t="str">
        <x:f>=IF(G39="Disagree","Conflict",IF(G39="Agree","No conflict","Pending"))</x:f>
        <x:v>Pending</x:v>
      </x:c>
      <x:c r="I39" s="3"/>
      <x:c r="J39" s="3"/>
      <x:c r="K39" s="3" t="s">
        <x:v>1512</x:v>
      </x:c>
      <x:c r="L39" s="3"/>
      <x:c r="M39" s="3"/>
    </x:row>
    <x:row r="40">
      <x:c r="A40" s="3" t="s">
        <x:v>358</x:v>
      </x:c>
      <x:c r="B40" s="3" t="s">
        <x:v>359</x:v>
      </x:c>
      <x:c r="C40" s="3" t="s">
        <x:v>70</x:v>
      </x:c>
      <x:c r="D40" s="3" t="s">
        <x:v>362</x:v>
      </x:c>
      <x:c r="E40" s="3" t="str">
        <x:f>='Reviewer_1'!N41</x:f>
        <x:v>Exclude</x:v>
      </x:c>
      <x:c r="F40" s="3" t="n">
        <x:f>='Reviewer_2'!N41</x:f>
        <x:v>0</x:v>
      </x:c>
      <x:c r="G40" s="3" t="str">
        <x:f>=IF(OR(E40="",F40=""),"Pending",IF(E40=F40,"Agree","Disagree"))</x:f>
        <x:v>Pending</x:v>
      </x:c>
      <x:c r="H40" s="3" t="str">
        <x:f>=IF(G40="Disagree","Conflict",IF(G40="Agree","No conflict","Pending"))</x:f>
        <x:v>Pending</x:v>
      </x:c>
      <x:c r="I40" s="3"/>
      <x:c r="J40" s="3"/>
      <x:c r="K40" s="3" t="s">
        <x:v>1512</x:v>
      </x:c>
      <x:c r="L40" s="3"/>
      <x:c r="M40" s="3"/>
    </x:row>
    <x:row r="41">
      <x:c r="A41" s="3" t="s">
        <x:v>365</x:v>
      </x:c>
      <x:c r="B41" s="3" t="s">
        <x:v>366</x:v>
      </x:c>
      <x:c r="C41" s="3" t="s">
        <x:v>81</x:v>
      </x:c>
      <x:c r="D41" s="3" t="s">
        <x:v>369</x:v>
      </x:c>
      <x:c r="E41" s="3" t="str">
        <x:f>='Reviewer_1'!N42</x:f>
        <x:v>Exclude</x:v>
      </x:c>
      <x:c r="F41" s="3" t="n">
        <x:f>='Reviewer_2'!N42</x:f>
        <x:v>0</x:v>
      </x:c>
      <x:c r="G41" s="3" t="str">
        <x:f>=IF(OR(E41="",F41=""),"Pending",IF(E41=F41,"Agree","Disagree"))</x:f>
        <x:v>Pending</x:v>
      </x:c>
      <x:c r="H41" s="3" t="str">
        <x:f>=IF(G41="Disagree","Conflict",IF(G41="Agree","No conflict","Pending"))</x:f>
        <x:v>Pending</x:v>
      </x:c>
      <x:c r="I41" s="3"/>
      <x:c r="J41" s="3"/>
      <x:c r="K41" s="3" t="s">
        <x:v>1512</x:v>
      </x:c>
      <x:c r="L41" s="3"/>
      <x:c r="M41" s="3"/>
    </x:row>
    <x:row r="42">
      <x:c r="A42" s="3" t="s">
        <x:v>372</x:v>
      </x:c>
      <x:c r="B42" s="3" t="s">
        <x:v>373</x:v>
      </x:c>
      <x:c r="C42" s="3" t="s">
        <x:v>70</x:v>
      </x:c>
      <x:c r="D42" s="3" t="s">
        <x:v>376</x:v>
      </x:c>
      <x:c r="E42" s="3" t="str">
        <x:f>='Reviewer_1'!N43</x:f>
        <x:v>Exclude</x:v>
      </x:c>
      <x:c r="F42" s="3" t="n">
        <x:f>='Reviewer_2'!N43</x:f>
        <x:v>0</x:v>
      </x:c>
      <x:c r="G42" s="3" t="str">
        <x:f>=IF(OR(E42="",F42=""),"Pending",IF(E42=F42,"Agree","Disagree"))</x:f>
        <x:v>Pending</x:v>
      </x:c>
      <x:c r="H42" s="3" t="str">
        <x:f>=IF(G42="Disagree","Conflict",IF(G42="Agree","No conflict","Pending"))</x:f>
        <x:v>Pending</x:v>
      </x:c>
      <x:c r="I42" s="3"/>
      <x:c r="J42" s="3"/>
      <x:c r="K42" s="3" t="s">
        <x:v>1512</x:v>
      </x:c>
      <x:c r="L42" s="3"/>
      <x:c r="M42" s="3"/>
    </x:row>
    <x:row r="43">
      <x:c r="A43" s="3" t="s">
        <x:v>379</x:v>
      </x:c>
      <x:c r="B43" s="3" t="s">
        <x:v>380</x:v>
      </x:c>
      <x:c r="C43" s="3" t="s">
        <x:v>81</x:v>
      </x:c>
      <x:c r="D43" s="3" t="s">
        <x:v>383</x:v>
      </x:c>
      <x:c r="E43" s="3" t="str">
        <x:f>='Reviewer_1'!N44</x:f>
        <x:v>Exclude</x:v>
      </x:c>
      <x:c r="F43" s="3" t="n">
        <x:f>='Reviewer_2'!N44</x:f>
        <x:v>0</x:v>
      </x:c>
      <x:c r="G43" s="3" t="str">
        <x:f>=IF(OR(E43="",F43=""),"Pending",IF(E43=F43,"Agree","Disagree"))</x:f>
        <x:v>Pending</x:v>
      </x:c>
      <x:c r="H43" s="3" t="str">
        <x:f>=IF(G43="Disagree","Conflict",IF(G43="Agree","No conflict","Pending"))</x:f>
        <x:v>Pending</x:v>
      </x:c>
      <x:c r="I43" s="3"/>
      <x:c r="J43" s="3"/>
      <x:c r="K43" s="3" t="s">
        <x:v>1512</x:v>
      </x:c>
      <x:c r="L43" s="3"/>
      <x:c r="M43" s="3"/>
    </x:row>
    <x:row r="44">
      <x:c r="A44" s="3" t="s">
        <x:v>386</x:v>
      </x:c>
      <x:c r="B44" s="3" t="s">
        <x:v>387</x:v>
      </x:c>
      <x:c r="C44" s="3" t="s">
        <x:v>92</x:v>
      </x:c>
      <x:c r="D44" s="3" t="s">
        <x:v>390</x:v>
      </x:c>
      <x:c r="E44" s="3" t="str">
        <x:f>='Reviewer_1'!N45</x:f>
        <x:v>Exclude</x:v>
      </x:c>
      <x:c r="F44" s="3" t="n">
        <x:f>='Reviewer_2'!N45</x:f>
        <x:v>0</x:v>
      </x:c>
      <x:c r="G44" s="3" t="str">
        <x:f>=IF(OR(E44="",F44=""),"Pending",IF(E44=F44,"Agree","Disagree"))</x:f>
        <x:v>Pending</x:v>
      </x:c>
      <x:c r="H44" s="3" t="str">
        <x:f>=IF(G44="Disagree","Conflict",IF(G44="Agree","No conflict","Pending"))</x:f>
        <x:v>Pending</x:v>
      </x:c>
      <x:c r="I44" s="3"/>
      <x:c r="J44" s="3"/>
      <x:c r="K44" s="3" t="s">
        <x:v>1512</x:v>
      </x:c>
      <x:c r="L44" s="3"/>
      <x:c r="M44" s="3"/>
    </x:row>
    <x:row r="45">
      <x:c r="A45" s="3" t="s">
        <x:v>394</x:v>
      </x:c>
      <x:c r="B45" s="3" t="s">
        <x:v>395</x:v>
      </x:c>
      <x:c r="C45" s="3" t="s">
        <x:v>92</x:v>
      </x:c>
      <x:c r="D45" s="3" t="s">
        <x:v>398</x:v>
      </x:c>
      <x:c r="E45" s="3" t="str">
        <x:f>='Reviewer_1'!N46</x:f>
        <x:v>Exclude</x:v>
      </x:c>
      <x:c r="F45" s="3" t="n">
        <x:f>='Reviewer_2'!N46</x:f>
        <x:v>0</x:v>
      </x:c>
      <x:c r="G45" s="3" t="str">
        <x:f>=IF(OR(E45="",F45=""),"Pending",IF(E45=F45,"Agree","Disagree"))</x:f>
        <x:v>Pending</x:v>
      </x:c>
      <x:c r="H45" s="3" t="str">
        <x:f>=IF(G45="Disagree","Conflict",IF(G45="Agree","No conflict","Pending"))</x:f>
        <x:v>Pending</x:v>
      </x:c>
      <x:c r="I45" s="3"/>
      <x:c r="J45" s="3"/>
      <x:c r="K45" s="3" t="s">
        <x:v>1512</x:v>
      </x:c>
      <x:c r="L45" s="3"/>
      <x:c r="M45" s="3"/>
    </x:row>
    <x:row r="46">
      <x:c r="A46" s="3" t="s">
        <x:v>401</x:v>
      </x:c>
      <x:c r="B46" s="3" t="s">
        <x:v>402</x:v>
      </x:c>
      <x:c r="C46" s="3" t="s">
        <x:v>92</x:v>
      </x:c>
      <x:c r="D46" s="3" t="s">
        <x:v>405</x:v>
      </x:c>
      <x:c r="E46" s="3" t="str">
        <x:f>='Reviewer_1'!N47</x:f>
        <x:v>Exclude</x:v>
      </x:c>
      <x:c r="F46" s="3" t="n">
        <x:f>='Reviewer_2'!N47</x:f>
        <x:v>0</x:v>
      </x:c>
      <x:c r="G46" s="3" t="str">
        <x:f>=IF(OR(E46="",F46=""),"Pending",IF(E46=F46,"Agree","Disagree"))</x:f>
        <x:v>Pending</x:v>
      </x:c>
      <x:c r="H46" s="3" t="str">
        <x:f>=IF(G46="Disagree","Conflict",IF(G46="Agree","No conflict","Pending"))</x:f>
        <x:v>Pending</x:v>
      </x:c>
      <x:c r="I46" s="3"/>
      <x:c r="J46" s="3"/>
      <x:c r="K46" s="3" t="s">
        <x:v>1512</x:v>
      </x:c>
      <x:c r="L46" s="3"/>
      <x:c r="M46" s="3"/>
    </x:row>
    <x:row r="47">
      <x:c r="A47" s="3" t="s">
        <x:v>408</x:v>
      </x:c>
      <x:c r="B47" s="3" t="s">
        <x:v>409</x:v>
      </x:c>
      <x:c r="C47" s="3" t="s">
        <x:v>92</x:v>
      </x:c>
      <x:c r="D47" s="3" t="s">
        <x:v>412</x:v>
      </x:c>
      <x:c r="E47" s="3" t="str">
        <x:f>='Reviewer_1'!N48</x:f>
        <x:v>Exclude</x:v>
      </x:c>
      <x:c r="F47" s="3" t="n">
        <x:f>='Reviewer_2'!N48</x:f>
        <x:v>0</x:v>
      </x:c>
      <x:c r="G47" s="3" t="str">
        <x:f>=IF(OR(E47="",F47=""),"Pending",IF(E47=F47,"Agree","Disagree"))</x:f>
        <x:v>Pending</x:v>
      </x:c>
      <x:c r="H47" s="3" t="str">
        <x:f>=IF(G47="Disagree","Conflict",IF(G47="Agree","No conflict","Pending"))</x:f>
        <x:v>Pending</x:v>
      </x:c>
      <x:c r="I47" s="3"/>
      <x:c r="J47" s="3"/>
      <x:c r="K47" s="3" t="s">
        <x:v>1512</x:v>
      </x:c>
      <x:c r="L47" s="3"/>
      <x:c r="M47" s="3"/>
    </x:row>
    <x:row r="48">
      <x:c r="A48" s="3" t="s">
        <x:v>415</x:v>
      </x:c>
      <x:c r="B48" s="3" t="s">
        <x:v>416</x:v>
      </x:c>
      <x:c r="C48" s="3" t="s">
        <x:v>81</x:v>
      </x:c>
      <x:c r="D48" s="3" t="s">
        <x:v>419</x:v>
      </x:c>
      <x:c r="E48" s="3" t="str">
        <x:f>='Reviewer_1'!N49</x:f>
        <x:v>Exclude</x:v>
      </x:c>
      <x:c r="F48" s="3" t="n">
        <x:f>='Reviewer_2'!N49</x:f>
        <x:v>0</x:v>
      </x:c>
      <x:c r="G48" s="3" t="str">
        <x:f>=IF(OR(E48="",F48=""),"Pending",IF(E48=F48,"Agree","Disagree"))</x:f>
        <x:v>Pending</x:v>
      </x:c>
      <x:c r="H48" s="3" t="str">
        <x:f>=IF(G48="Disagree","Conflict",IF(G48="Agree","No conflict","Pending"))</x:f>
        <x:v>Pending</x:v>
      </x:c>
      <x:c r="I48" s="3"/>
      <x:c r="J48" s="3"/>
      <x:c r="K48" s="3" t="s">
        <x:v>1512</x:v>
      </x:c>
      <x:c r="L48" s="3"/>
      <x:c r="M48" s="3"/>
    </x:row>
    <x:row r="49">
      <x:c r="A49" s="3" t="s">
        <x:v>422</x:v>
      </x:c>
      <x:c r="B49" s="3" t="s">
        <x:v>423</x:v>
      </x:c>
      <x:c r="C49" s="3" t="s">
        <x:v>92</x:v>
      </x:c>
      <x:c r="D49" s="3" t="s">
        <x:v>426</x:v>
      </x:c>
      <x:c r="E49" s="3" t="str">
        <x:f>='Reviewer_1'!N50</x:f>
        <x:v>Exclude</x:v>
      </x:c>
      <x:c r="F49" s="3" t="n">
        <x:f>='Reviewer_2'!N50</x:f>
        <x:v>0</x:v>
      </x:c>
      <x:c r="G49" s="3" t="str">
        <x:f>=IF(OR(E49="",F49=""),"Pending",IF(E49=F49,"Agree","Disagree"))</x:f>
        <x:v>Pending</x:v>
      </x:c>
      <x:c r="H49" s="3" t="str">
        <x:f>=IF(G49="Disagree","Conflict",IF(G49="Agree","No conflict","Pending"))</x:f>
        <x:v>Pending</x:v>
      </x:c>
      <x:c r="I49" s="3"/>
      <x:c r="J49" s="3"/>
      <x:c r="K49" s="3" t="s">
        <x:v>1512</x:v>
      </x:c>
      <x:c r="L49" s="3"/>
      <x:c r="M49" s="3"/>
    </x:row>
    <x:row r="50">
      <x:c r="A50" s="3" t="s">
        <x:v>429</x:v>
      </x:c>
      <x:c r="B50" s="3" t="s">
        <x:v>430</x:v>
      </x:c>
      <x:c r="C50" s="3" t="s">
        <x:v>81</x:v>
      </x:c>
      <x:c r="D50" s="3" t="s">
        <x:v>433</x:v>
      </x:c>
      <x:c r="E50" s="3" t="str">
        <x:f>='Reviewer_1'!N51</x:f>
        <x:v>Exclude</x:v>
      </x:c>
      <x:c r="F50" s="3" t="n">
        <x:f>='Reviewer_2'!N51</x:f>
        <x:v>0</x:v>
      </x:c>
      <x:c r="G50" s="3" t="str">
        <x:f>=IF(OR(E50="",F50=""),"Pending",IF(E50=F50,"Agree","Disagree"))</x:f>
        <x:v>Pending</x:v>
      </x:c>
      <x:c r="H50" s="3" t="str">
        <x:f>=IF(G50="Disagree","Conflict",IF(G50="Agree","No conflict","Pending"))</x:f>
        <x:v>Pending</x:v>
      </x:c>
      <x:c r="I50" s="3"/>
      <x:c r="J50" s="3"/>
      <x:c r="K50" s="3" t="s">
        <x:v>1512</x:v>
      </x:c>
      <x:c r="L50" s="3"/>
      <x:c r="M50" s="3"/>
    </x:row>
    <x:row r="51">
      <x:c r="A51" s="3" t="s">
        <x:v>436</x:v>
      </x:c>
      <x:c r="B51" s="3" t="s">
        <x:v>437</x:v>
      </x:c>
      <x:c r="C51" s="3" t="s">
        <x:v>58</x:v>
      </x:c>
      <x:c r="D51" s="3" t="s">
        <x:v>440</x:v>
      </x:c>
      <x:c r="E51" s="3" t="str">
        <x:f>='Reviewer_1'!N52</x:f>
        <x:v>Exclude</x:v>
      </x:c>
      <x:c r="F51" s="3" t="n">
        <x:f>='Reviewer_2'!N52</x:f>
        <x:v>0</x:v>
      </x:c>
      <x:c r="G51" s="3" t="str">
        <x:f>=IF(OR(E51="",F51=""),"Pending",IF(E51=F51,"Agree","Disagree"))</x:f>
        <x:v>Pending</x:v>
      </x:c>
      <x:c r="H51" s="3" t="str">
        <x:f>=IF(G51="Disagree","Conflict",IF(G51="Agree","No conflict","Pending"))</x:f>
        <x:v>Pending</x:v>
      </x:c>
      <x:c r="I51" s="3"/>
      <x:c r="J51" s="3"/>
      <x:c r="K51" s="3" t="s">
        <x:v>1512</x:v>
      </x:c>
      <x:c r="L51" s="3"/>
      <x:c r="M51" s="3"/>
    </x:row>
    <x:row r="52">
      <x:c r="A52" s="3" t="s">
        <x:v>443</x:v>
      </x:c>
      <x:c r="B52" s="3" t="s">
        <x:v>444</x:v>
      </x:c>
      <x:c r="C52" s="3" t="s">
        <x:v>297</x:v>
      </x:c>
      <x:c r="D52" s="3" t="s">
        <x:v>447</x:v>
      </x:c>
      <x:c r="E52" s="3" t="str">
        <x:f>='Reviewer_1'!N53</x:f>
        <x:v>Exclude</x:v>
      </x:c>
      <x:c r="F52" s="3" t="n">
        <x:f>='Reviewer_2'!N53</x:f>
        <x:v>0</x:v>
      </x:c>
      <x:c r="G52" s="3" t="str">
        <x:f>=IF(OR(E52="",F52=""),"Pending",IF(E52=F52,"Agree","Disagree"))</x:f>
        <x:v>Pending</x:v>
      </x:c>
      <x:c r="H52" s="3" t="str">
        <x:f>=IF(G52="Disagree","Conflict",IF(G52="Agree","No conflict","Pending"))</x:f>
        <x:v>Pending</x:v>
      </x:c>
      <x:c r="I52" s="3"/>
      <x:c r="J52" s="3"/>
      <x:c r="K52" s="3" t="s">
        <x:v>1512</x:v>
      </x:c>
      <x:c r="L52" s="3"/>
      <x:c r="M52" s="3"/>
    </x:row>
    <x:row r="53">
      <x:c r="A53" s="3" t="s">
        <x:v>450</x:v>
      </x:c>
      <x:c r="B53" s="3" t="s">
        <x:v>451</x:v>
      </x:c>
      <x:c r="C53" s="3" t="s">
        <x:v>92</x:v>
      </x:c>
      <x:c r="D53" s="3" t="s">
        <x:v>454</x:v>
      </x:c>
      <x:c r="E53" s="3" t="str">
        <x:f>='Reviewer_1'!N54</x:f>
        <x:v>Exclude</x:v>
      </x:c>
      <x:c r="F53" s="3" t="n">
        <x:f>='Reviewer_2'!N54</x:f>
        <x:v>0</x:v>
      </x:c>
      <x:c r="G53" s="3" t="str">
        <x:f>=IF(OR(E53="",F53=""),"Pending",IF(E53=F53,"Agree","Disagree"))</x:f>
        <x:v>Pending</x:v>
      </x:c>
      <x:c r="H53" s="3" t="str">
        <x:f>=IF(G53="Disagree","Conflict",IF(G53="Agree","No conflict","Pending"))</x:f>
        <x:v>Pending</x:v>
      </x:c>
      <x:c r="I53" s="3"/>
      <x:c r="J53" s="3"/>
      <x:c r="K53" s="3" t="s">
        <x:v>1512</x:v>
      </x:c>
      <x:c r="L53" s="3"/>
      <x:c r="M53" s="3"/>
    </x:row>
    <x:row r="54">
      <x:c r="A54" s="3" t="s">
        <x:v>457</x:v>
      </x:c>
      <x:c r="B54" s="3" t="s">
        <x:v>458</x:v>
      </x:c>
      <x:c r="C54" s="3" t="s">
        <x:v>70</x:v>
      </x:c>
      <x:c r="D54" s="3" t="s">
        <x:v>461</x:v>
      </x:c>
      <x:c r="E54" s="3" t="str">
        <x:f>='Reviewer_1'!N55</x:f>
        <x:v>Exclude</x:v>
      </x:c>
      <x:c r="F54" s="3" t="n">
        <x:f>='Reviewer_2'!N55</x:f>
        <x:v>0</x:v>
      </x:c>
      <x:c r="G54" s="3" t="str">
        <x:f>=IF(OR(E54="",F54=""),"Pending",IF(E54=F54,"Agree","Disagree"))</x:f>
        <x:v>Pending</x:v>
      </x:c>
      <x:c r="H54" s="3" t="str">
        <x:f>=IF(G54="Disagree","Conflict",IF(G54="Agree","No conflict","Pending"))</x:f>
        <x:v>Pending</x:v>
      </x:c>
      <x:c r="I54" s="3"/>
      <x:c r="J54" s="3"/>
      <x:c r="K54" s="3" t="s">
        <x:v>1512</x:v>
      </x:c>
      <x:c r="L54" s="3"/>
      <x:c r="M54" s="3"/>
    </x:row>
    <x:row r="55">
      <x:c r="A55" s="3" t="s">
        <x:v>464</x:v>
      </x:c>
      <x:c r="B55" s="3" t="s">
        <x:v>465</x:v>
      </x:c>
      <x:c r="C55" s="3" t="s">
        <x:v>92</x:v>
      </x:c>
      <x:c r="D55" s="3" t="s">
        <x:v>468</x:v>
      </x:c>
      <x:c r="E55" s="3" t="str">
        <x:f>='Reviewer_1'!N56</x:f>
        <x:v>Exclude</x:v>
      </x:c>
      <x:c r="F55" s="3" t="n">
        <x:f>='Reviewer_2'!N56</x:f>
        <x:v>0</x:v>
      </x:c>
      <x:c r="G55" s="3" t="str">
        <x:f>=IF(OR(E55="",F55=""),"Pending",IF(E55=F55,"Agree","Disagree"))</x:f>
        <x:v>Pending</x:v>
      </x:c>
      <x:c r="H55" s="3" t="str">
        <x:f>=IF(G55="Disagree","Conflict",IF(G55="Agree","No conflict","Pending"))</x:f>
        <x:v>Pending</x:v>
      </x:c>
      <x:c r="I55" s="3"/>
      <x:c r="J55" s="3"/>
      <x:c r="K55" s="3" t="s">
        <x:v>1512</x:v>
      </x:c>
      <x:c r="L55" s="3"/>
      <x:c r="M55" s="3"/>
    </x:row>
    <x:row r="56">
      <x:c r="A56" s="3" t="s">
        <x:v>471</x:v>
      </x:c>
      <x:c r="B56" s="3" t="s">
        <x:v>472</x:v>
      </x:c>
      <x:c r="C56" s="3" t="s">
        <x:v>70</x:v>
      </x:c>
      <x:c r="D56" s="3" t="s">
        <x:v>475</x:v>
      </x:c>
      <x:c r="E56" s="3" t="str">
        <x:f>='Reviewer_1'!N57</x:f>
        <x:v>Exclude</x:v>
      </x:c>
      <x:c r="F56" s="3" t="n">
        <x:f>='Reviewer_2'!N57</x:f>
        <x:v>0</x:v>
      </x:c>
      <x:c r="G56" s="3" t="str">
        <x:f>=IF(OR(E56="",F56=""),"Pending",IF(E56=F56,"Agree","Disagree"))</x:f>
        <x:v>Pending</x:v>
      </x:c>
      <x:c r="H56" s="3" t="str">
        <x:f>=IF(G56="Disagree","Conflict",IF(G56="Agree","No conflict","Pending"))</x:f>
        <x:v>Pending</x:v>
      </x:c>
      <x:c r="I56" s="3"/>
      <x:c r="J56" s="3"/>
      <x:c r="K56" s="3" t="s">
        <x:v>1512</x:v>
      </x:c>
      <x:c r="L56" s="3"/>
      <x:c r="M56" s="3"/>
    </x:row>
    <x:row r="57">
      <x:c r="A57" s="3" t="s">
        <x:v>478</x:v>
      </x:c>
      <x:c r="B57" s="3" t="s">
        <x:v>479</x:v>
      </x:c>
      <x:c r="C57" s="3" t="s">
        <x:v>70</x:v>
      </x:c>
      <x:c r="D57" s="3" t="s">
        <x:v>482</x:v>
      </x:c>
      <x:c r="E57" s="3" t="str">
        <x:f>='Reviewer_1'!N58</x:f>
        <x:v>Exclude</x:v>
      </x:c>
      <x:c r="F57" s="3" t="n">
        <x:f>='Reviewer_2'!N58</x:f>
        <x:v>0</x:v>
      </x:c>
      <x:c r="G57" s="3" t="str">
        <x:f>=IF(OR(E57="",F57=""),"Pending",IF(E57=F57,"Agree","Disagree"))</x:f>
        <x:v>Pending</x:v>
      </x:c>
      <x:c r="H57" s="3" t="str">
        <x:f>=IF(G57="Disagree","Conflict",IF(G57="Agree","No conflict","Pending"))</x:f>
        <x:v>Pending</x:v>
      </x:c>
      <x:c r="I57" s="3"/>
      <x:c r="J57" s="3"/>
      <x:c r="K57" s="3" t="s">
        <x:v>1512</x:v>
      </x:c>
      <x:c r="L57" s="3"/>
      <x:c r="M57" s="3"/>
    </x:row>
    <x:row r="58">
      <x:c r="A58" s="3" t="s">
        <x:v>485</x:v>
      </x:c>
      <x:c r="B58" s="3" t="s">
        <x:v>486</x:v>
      </x:c>
      <x:c r="C58" s="3" t="s">
        <x:v>347</x:v>
      </x:c>
      <x:c r="D58" s="3" t="s">
        <x:v>489</x:v>
      </x:c>
      <x:c r="E58" s="3" t="str">
        <x:f>='Reviewer_1'!N59</x:f>
        <x:v>Exclude</x:v>
      </x:c>
      <x:c r="F58" s="3" t="n">
        <x:f>='Reviewer_2'!N59</x:f>
        <x:v>0</x:v>
      </x:c>
      <x:c r="G58" s="3" t="str">
        <x:f>=IF(OR(E58="",F58=""),"Pending",IF(E58=F58,"Agree","Disagree"))</x:f>
        <x:v>Pending</x:v>
      </x:c>
      <x:c r="H58" s="3" t="str">
        <x:f>=IF(G58="Disagree","Conflict",IF(G58="Agree","No conflict","Pending"))</x:f>
        <x:v>Pending</x:v>
      </x:c>
      <x:c r="I58" s="3"/>
      <x:c r="J58" s="3"/>
      <x:c r="K58" s="3" t="s">
        <x:v>1512</x:v>
      </x:c>
      <x:c r="L58" s="3"/>
      <x:c r="M58" s="3"/>
    </x:row>
    <x:row r="59">
      <x:c r="A59" s="3" t="s">
        <x:v>492</x:v>
      </x:c>
      <x:c r="B59" s="3" t="s">
        <x:v>494</x:v>
      </x:c>
      <x:c r="C59" s="3" t="s">
        <x:v>58</x:v>
      </x:c>
      <x:c r="D59" s="3" t="s">
        <x:v>497</x:v>
      </x:c>
      <x:c r="E59" s="3" t="str">
        <x:f>='Reviewer_1'!N60</x:f>
        <x:v>Exclude</x:v>
      </x:c>
      <x:c r="F59" s="3" t="n">
        <x:f>='Reviewer_2'!N60</x:f>
        <x:v>0</x:v>
      </x:c>
      <x:c r="G59" s="3" t="str">
        <x:f>=IF(OR(E59="",F59=""),"Pending",IF(E59=F59,"Agree","Disagree"))</x:f>
        <x:v>Pending</x:v>
      </x:c>
      <x:c r="H59" s="3" t="str">
        <x:f>=IF(G59="Disagree","Conflict",IF(G59="Agree","No conflict","Pending"))</x:f>
        <x:v>Pending</x:v>
      </x:c>
      <x:c r="I59" s="3"/>
      <x:c r="J59" s="3"/>
      <x:c r="K59" s="3" t="s">
        <x:v>1512</x:v>
      </x:c>
      <x:c r="L59" s="3"/>
      <x:c r="M59" s="3"/>
    </x:row>
    <x:row r="60">
      <x:c r="A60" s="3" t="s">
        <x:v>502</x:v>
      </x:c>
      <x:c r="B60" s="3" t="s">
        <x:v>503</x:v>
      </x:c>
      <x:c r="C60" s="3" t="s">
        <x:v>58</x:v>
      </x:c>
      <x:c r="D60" s="3" t="s">
        <x:v>506</x:v>
      </x:c>
      <x:c r="E60" s="3" t="str">
        <x:f>='Reviewer_1'!N61</x:f>
        <x:v>Exclude</x:v>
      </x:c>
      <x:c r="F60" s="3" t="n">
        <x:f>='Reviewer_2'!N61</x:f>
        <x:v>0</x:v>
      </x:c>
      <x:c r="G60" s="3" t="str">
        <x:f>=IF(OR(E60="",F60=""),"Pending",IF(E60=F60,"Agree","Disagree"))</x:f>
        <x:v>Pending</x:v>
      </x:c>
      <x:c r="H60" s="3" t="str">
        <x:f>=IF(G60="Disagree","Conflict",IF(G60="Agree","No conflict","Pending"))</x:f>
        <x:v>Pending</x:v>
      </x:c>
      <x:c r="I60" s="3"/>
      <x:c r="J60" s="3"/>
      <x:c r="K60" s="3" t="s">
        <x:v>1512</x:v>
      </x:c>
      <x:c r="L60" s="3"/>
      <x:c r="M60" s="3"/>
    </x:row>
    <x:row r="61">
      <x:c r="A61" s="3" t="s">
        <x:v>509</x:v>
      </x:c>
      <x:c r="B61" s="3" t="s">
        <x:v>510</x:v>
      </x:c>
      <x:c r="C61" s="3" t="s">
        <x:v>58</x:v>
      </x:c>
      <x:c r="D61" s="3" t="s">
        <x:v>513</x:v>
      </x:c>
      <x:c r="E61" s="3" t="str">
        <x:f>='Reviewer_1'!N62</x:f>
        <x:v>Exclude</x:v>
      </x:c>
      <x:c r="F61" s="3" t="n">
        <x:f>='Reviewer_2'!N62</x:f>
        <x:v>0</x:v>
      </x:c>
      <x:c r="G61" s="3" t="str">
        <x:f>=IF(OR(E61="",F61=""),"Pending",IF(E61=F61,"Agree","Disagree"))</x:f>
        <x:v>Pending</x:v>
      </x:c>
      <x:c r="H61" s="3" t="str">
        <x:f>=IF(G61="Disagree","Conflict",IF(G61="Agree","No conflict","Pending"))</x:f>
        <x:v>Pending</x:v>
      </x:c>
      <x:c r="I61" s="3"/>
      <x:c r="J61" s="3"/>
      <x:c r="K61" s="3" t="s">
        <x:v>1512</x:v>
      </x:c>
      <x:c r="L61" s="3"/>
      <x:c r="M61" s="3"/>
    </x:row>
    <x:row r="62">
      <x:c r="A62" s="3" t="s">
        <x:v>516</x:v>
      </x:c>
      <x:c r="B62" s="3" t="s">
        <x:v>517</x:v>
      </x:c>
      <x:c r="C62" s="3" t="s">
        <x:v>58</x:v>
      </x:c>
      <x:c r="D62" s="3" t="s">
        <x:v>520</x:v>
      </x:c>
      <x:c r="E62" s="3" t="str">
        <x:f>='Reviewer_1'!N63</x:f>
        <x:v>Include</x:v>
      </x:c>
      <x:c r="F62" s="3" t="n">
        <x:f>='Reviewer_2'!N63</x:f>
        <x:v>0</x:v>
      </x:c>
      <x:c r="G62" s="3" t="str">
        <x:f>=IF(OR(E62="",F62=""),"Pending",IF(E62=F62,"Agree","Disagree"))</x:f>
        <x:v>Pending</x:v>
      </x:c>
      <x:c r="H62" s="3" t="str">
        <x:f>=IF(G62="Disagree","Conflict",IF(G62="Agree","No conflict","Pending"))</x:f>
        <x:v>Pending</x:v>
      </x:c>
      <x:c r="I62" s="3"/>
      <x:c r="J62" s="3"/>
      <x:c r="K62" s="3" t="s">
        <x:v>1512</x:v>
      </x:c>
      <x:c r="L62" s="3"/>
      <x:c r="M62" s="3"/>
    </x:row>
    <x:row r="63">
      <x:c r="A63" s="3" t="s">
        <x:v>523</x:v>
      </x:c>
      <x:c r="B63" s="3" t="s">
        <x:v>524</x:v>
      </x:c>
      <x:c r="C63" s="3" t="s">
        <x:v>58</x:v>
      </x:c>
      <x:c r="D63" s="3" t="s">
        <x:v>527</x:v>
      </x:c>
      <x:c r="E63" s="3" t="str">
        <x:f>='Reviewer_1'!N64</x:f>
        <x:v>Exclude</x:v>
      </x:c>
      <x:c r="F63" s="3" t="n">
        <x:f>='Reviewer_2'!N64</x:f>
        <x:v>0</x:v>
      </x:c>
      <x:c r="G63" s="3" t="str">
        <x:f>=IF(OR(E63="",F63=""),"Pending",IF(E63=F63,"Agree","Disagree"))</x:f>
        <x:v>Pending</x:v>
      </x:c>
      <x:c r="H63" s="3" t="str">
        <x:f>=IF(G63="Disagree","Conflict",IF(G63="Agree","No conflict","Pending"))</x:f>
        <x:v>Pending</x:v>
      </x:c>
      <x:c r="I63" s="3"/>
      <x:c r="J63" s="3"/>
      <x:c r="K63" s="3" t="s">
        <x:v>1512</x:v>
      </x:c>
      <x:c r="L63" s="3"/>
      <x:c r="M63" s="3"/>
    </x:row>
    <x:row r="64">
      <x:c r="A64" s="3" t="s">
        <x:v>530</x:v>
      </x:c>
      <x:c r="B64" s="3" t="s">
        <x:v>531</x:v>
      </x:c>
      <x:c r="C64" s="3" t="s">
        <x:v>58</x:v>
      </x:c>
      <x:c r="D64" s="3" t="s">
        <x:v>513</x:v>
      </x:c>
      <x:c r="E64" s="3" t="str">
        <x:f>='Reviewer_1'!N65</x:f>
        <x:v>Exclude</x:v>
      </x:c>
      <x:c r="F64" s="3" t="n">
        <x:f>='Reviewer_2'!N65</x:f>
        <x:v>0</x:v>
      </x:c>
      <x:c r="G64" s="3" t="str">
        <x:f>=IF(OR(E64="",F64=""),"Pending",IF(E64=F64,"Agree","Disagree"))</x:f>
        <x:v>Pending</x:v>
      </x:c>
      <x:c r="H64" s="3" t="str">
        <x:f>=IF(G64="Disagree","Conflict",IF(G64="Agree","No conflict","Pending"))</x:f>
        <x:v>Pending</x:v>
      </x:c>
      <x:c r="I64" s="3"/>
      <x:c r="J64" s="3"/>
      <x:c r="K64" s="3" t="s">
        <x:v>1512</x:v>
      </x:c>
      <x:c r="L64" s="3"/>
      <x:c r="M64" s="3"/>
    </x:row>
    <x:row r="65">
      <x:c r="A65" s="3" t="s">
        <x:v>536</x:v>
      </x:c>
      <x:c r="B65" s="3" t="s">
        <x:v>537</x:v>
      </x:c>
      <x:c r="C65" s="3" t="s">
        <x:v>58</x:v>
      </x:c>
      <x:c r="D65" s="3" t="s">
        <x:v>540</x:v>
      </x:c>
      <x:c r="E65" s="3" t="str">
        <x:f>='Reviewer_1'!N66</x:f>
        <x:v>Exclude</x:v>
      </x:c>
      <x:c r="F65" s="3" t="n">
        <x:f>='Reviewer_2'!N66</x:f>
        <x:v>0</x:v>
      </x:c>
      <x:c r="G65" s="3" t="str">
        <x:f>=IF(OR(E65="",F65=""),"Pending",IF(E65=F65,"Agree","Disagree"))</x:f>
        <x:v>Pending</x:v>
      </x:c>
      <x:c r="H65" s="3" t="str">
        <x:f>=IF(G65="Disagree","Conflict",IF(G65="Agree","No conflict","Pending"))</x:f>
        <x:v>Pending</x:v>
      </x:c>
      <x:c r="I65" s="3"/>
      <x:c r="J65" s="3"/>
      <x:c r="K65" s="3" t="s">
        <x:v>1512</x:v>
      </x:c>
      <x:c r="L65" s="3"/>
      <x:c r="M65" s="3"/>
    </x:row>
    <x:row r="66">
      <x:c r="A66" s="3" t="s">
        <x:v>543</x:v>
      </x:c>
      <x:c r="B66" s="3" t="s">
        <x:v>544</x:v>
      </x:c>
      <x:c r="C66" s="3" t="s">
        <x:v>58</x:v>
      </x:c>
      <x:c r="D66" s="3" t="s">
        <x:v>547</x:v>
      </x:c>
      <x:c r="E66" s="3" t="str">
        <x:f>='Reviewer_1'!N67</x:f>
        <x:v>Exclude</x:v>
      </x:c>
      <x:c r="F66" s="3" t="n">
        <x:f>='Reviewer_2'!N67</x:f>
        <x:v>0</x:v>
      </x:c>
      <x:c r="G66" s="3" t="str">
        <x:f>=IF(OR(E66="",F66=""),"Pending",IF(E66=F66,"Agree","Disagree"))</x:f>
        <x:v>Pending</x:v>
      </x:c>
      <x:c r="H66" s="3" t="str">
        <x:f>=IF(G66="Disagree","Conflict",IF(G66="Agree","No conflict","Pending"))</x:f>
        <x:v>Pending</x:v>
      </x:c>
      <x:c r="I66" s="3"/>
      <x:c r="J66" s="3"/>
      <x:c r="K66" s="3" t="s">
        <x:v>1512</x:v>
      </x:c>
      <x:c r="L66" s="3"/>
      <x:c r="M66" s="3"/>
    </x:row>
    <x:row r="67">
      <x:c r="A67" s="3" t="s">
        <x:v>550</x:v>
      </x:c>
      <x:c r="B67" s="3" t="s">
        <x:v>551</x:v>
      </x:c>
      <x:c r="C67" s="3" t="s">
        <x:v>58</x:v>
      </x:c>
      <x:c r="D67" s="3" t="s">
        <x:v>554</x:v>
      </x:c>
      <x:c r="E67" s="3" t="str">
        <x:f>='Reviewer_1'!N68</x:f>
        <x:v>Exclude</x:v>
      </x:c>
      <x:c r="F67" s="3" t="n">
        <x:f>='Reviewer_2'!N68</x:f>
        <x:v>0</x:v>
      </x:c>
      <x:c r="G67" s="3" t="str">
        <x:f>=IF(OR(E67="",F67=""),"Pending",IF(E67=F67,"Agree","Disagree"))</x:f>
        <x:v>Pending</x:v>
      </x:c>
      <x:c r="H67" s="3" t="str">
        <x:f>=IF(G67="Disagree","Conflict",IF(G67="Agree","No conflict","Pending"))</x:f>
        <x:v>Pending</x:v>
      </x:c>
      <x:c r="I67" s="3"/>
      <x:c r="J67" s="3"/>
      <x:c r="K67" s="3" t="s">
        <x:v>1512</x:v>
      </x:c>
      <x:c r="L67" s="3"/>
      <x:c r="M67" s="3"/>
    </x:row>
    <x:row r="68">
      <x:c r="A68" s="3" t="s">
        <x:v>557</x:v>
      </x:c>
      <x:c r="B68" s="3" t="s">
        <x:v>558</x:v>
      </x:c>
      <x:c r="C68" s="3" t="s">
        <x:v>58</x:v>
      </x:c>
      <x:c r="D68" s="3" t="s">
        <x:v>520</x:v>
      </x:c>
      <x:c r="E68" s="3" t="str">
        <x:f>='Reviewer_1'!N69</x:f>
        <x:v>Exclude</x:v>
      </x:c>
      <x:c r="F68" s="3" t="n">
        <x:f>='Reviewer_2'!N69</x:f>
        <x:v>0</x:v>
      </x:c>
      <x:c r="G68" s="3" t="str">
        <x:f>=IF(OR(E68="",F68=""),"Pending",IF(E68=F68,"Agree","Disagree"))</x:f>
        <x:v>Pending</x:v>
      </x:c>
      <x:c r="H68" s="3" t="str">
        <x:f>=IF(G68="Disagree","Conflict",IF(G68="Agree","No conflict","Pending"))</x:f>
        <x:v>Pending</x:v>
      </x:c>
      <x:c r="I68" s="3"/>
      <x:c r="J68" s="3"/>
      <x:c r="K68" s="3" t="s">
        <x:v>1512</x:v>
      </x:c>
      <x:c r="L68" s="3"/>
      <x:c r="M68" s="3"/>
    </x:row>
    <x:row r="69">
      <x:c r="A69" s="3" t="s">
        <x:v>563</x:v>
      </x:c>
      <x:c r="B69" s="3" t="s">
        <x:v>564</x:v>
      </x:c>
      <x:c r="C69" s="3" t="s">
        <x:v>58</x:v>
      </x:c>
      <x:c r="D69" s="3" t="s">
        <x:v>520</x:v>
      </x:c>
      <x:c r="E69" s="3" t="str">
        <x:f>='Reviewer_1'!N70</x:f>
        <x:v>Exclude</x:v>
      </x:c>
      <x:c r="F69" s="3" t="n">
        <x:f>='Reviewer_2'!N70</x:f>
        <x:v>0</x:v>
      </x:c>
      <x:c r="G69" s="3" t="str">
        <x:f>=IF(OR(E69="",F69=""),"Pending",IF(E69=F69,"Agree","Disagree"))</x:f>
        <x:v>Pending</x:v>
      </x:c>
      <x:c r="H69" s="3" t="str">
        <x:f>=IF(G69="Disagree","Conflict",IF(G69="Agree","No conflict","Pending"))</x:f>
        <x:v>Pending</x:v>
      </x:c>
      <x:c r="I69" s="3"/>
      <x:c r="J69" s="3"/>
      <x:c r="K69" s="3" t="s">
        <x:v>1512</x:v>
      </x:c>
      <x:c r="L69" s="3"/>
      <x:c r="M69" s="3"/>
    </x:row>
    <x:row r="70">
      <x:c r="A70" s="3" t="s">
        <x:v>568</x:v>
      </x:c>
      <x:c r="B70" s="3" t="s">
        <x:v>569</x:v>
      </x:c>
      <x:c r="C70" s="3" t="s">
        <x:v>58</x:v>
      </x:c>
      <x:c r="D70" s="3" t="s">
        <x:v>572</x:v>
      </x:c>
      <x:c r="E70" s="3" t="str">
        <x:f>='Reviewer_1'!N71</x:f>
        <x:v>Exclude</x:v>
      </x:c>
      <x:c r="F70" s="3" t="n">
        <x:f>='Reviewer_2'!N71</x:f>
        <x:v>0</x:v>
      </x:c>
      <x:c r="G70" s="3" t="str">
        <x:f>=IF(OR(E70="",F70=""),"Pending",IF(E70=F70,"Agree","Disagree"))</x:f>
        <x:v>Pending</x:v>
      </x:c>
      <x:c r="H70" s="3" t="str">
        <x:f>=IF(G70="Disagree","Conflict",IF(G70="Agree","No conflict","Pending"))</x:f>
        <x:v>Pending</x:v>
      </x:c>
      <x:c r="I70" s="3"/>
      <x:c r="J70" s="3"/>
      <x:c r="K70" s="3" t="s">
        <x:v>1512</x:v>
      </x:c>
      <x:c r="L70" s="3"/>
      <x:c r="M70" s="3"/>
    </x:row>
    <x:row r="71">
      <x:c r="A71" s="3" t="s">
        <x:v>575</x:v>
      </x:c>
      <x:c r="B71" s="3" t="s">
        <x:v>576</x:v>
      </x:c>
      <x:c r="C71" s="3" t="s">
        <x:v>58</x:v>
      </x:c>
      <x:c r="D71" s="3" t="s">
        <x:v>579</x:v>
      </x:c>
      <x:c r="E71" s="3" t="str">
        <x:f>='Reviewer_1'!N72</x:f>
        <x:v>Exclude</x:v>
      </x:c>
      <x:c r="F71" s="3" t="n">
        <x:f>='Reviewer_2'!N72</x:f>
        <x:v>0</x:v>
      </x:c>
      <x:c r="G71" s="3" t="str">
        <x:f>=IF(OR(E71="",F71=""),"Pending",IF(E71=F71,"Agree","Disagree"))</x:f>
        <x:v>Pending</x:v>
      </x:c>
      <x:c r="H71" s="3" t="str">
        <x:f>=IF(G71="Disagree","Conflict",IF(G71="Agree","No conflict","Pending"))</x:f>
        <x:v>Pending</x:v>
      </x:c>
      <x:c r="I71" s="3"/>
      <x:c r="J71" s="3"/>
      <x:c r="K71" s="3" t="s">
        <x:v>1512</x:v>
      </x:c>
      <x:c r="L71" s="3"/>
      <x:c r="M71" s="3"/>
    </x:row>
    <x:row r="72">
      <x:c r="A72" s="3" t="s">
        <x:v>582</x:v>
      </x:c>
      <x:c r="B72" s="3" t="s">
        <x:v>583</x:v>
      </x:c>
      <x:c r="C72" s="3" t="s">
        <x:v>58</x:v>
      </x:c>
      <x:c r="D72" s="3" t="s">
        <x:v>579</x:v>
      </x:c>
      <x:c r="E72" s="3" t="str">
        <x:f>='Reviewer_1'!N73</x:f>
        <x:v>Exclude</x:v>
      </x:c>
      <x:c r="F72" s="3" t="n">
        <x:f>='Reviewer_2'!N73</x:f>
        <x:v>0</x:v>
      </x:c>
      <x:c r="G72" s="3" t="str">
        <x:f>=IF(OR(E72="",F72=""),"Pending",IF(E72=F72,"Agree","Disagree"))</x:f>
        <x:v>Pending</x:v>
      </x:c>
      <x:c r="H72" s="3" t="str">
        <x:f>=IF(G72="Disagree","Conflict",IF(G72="Agree","No conflict","Pending"))</x:f>
        <x:v>Pending</x:v>
      </x:c>
      <x:c r="I72" s="3"/>
      <x:c r="J72" s="3"/>
      <x:c r="K72" s="3" t="s">
        <x:v>1512</x:v>
      </x:c>
      <x:c r="L72" s="3"/>
      <x:c r="M72" s="3"/>
    </x:row>
    <x:row r="73">
      <x:c r="A73" s="3" t="s">
        <x:v>588</x:v>
      </x:c>
      <x:c r="B73" s="3" t="s">
        <x:v>589</x:v>
      </x:c>
      <x:c r="C73" s="3" t="s">
        <x:v>58</x:v>
      </x:c>
      <x:c r="D73" s="3" t="s">
        <x:v>579</x:v>
      </x:c>
      <x:c r="E73" s="3" t="str">
        <x:f>='Reviewer_1'!N74</x:f>
        <x:v>Exclude</x:v>
      </x:c>
      <x:c r="F73" s="3" t="n">
        <x:f>='Reviewer_2'!N74</x:f>
        <x:v>0</x:v>
      </x:c>
      <x:c r="G73" s="3" t="str">
        <x:f>=IF(OR(E73="",F73=""),"Pending",IF(E73=F73,"Agree","Disagree"))</x:f>
        <x:v>Pending</x:v>
      </x:c>
      <x:c r="H73" s="3" t="str">
        <x:f>=IF(G73="Disagree","Conflict",IF(G73="Agree","No conflict","Pending"))</x:f>
        <x:v>Pending</x:v>
      </x:c>
      <x:c r="I73" s="3"/>
      <x:c r="J73" s="3"/>
      <x:c r="K73" s="3" t="s">
        <x:v>1512</x:v>
      </x:c>
      <x:c r="L73" s="3"/>
      <x:c r="M73" s="3"/>
    </x:row>
    <x:row r="74">
      <x:c r="A74" s="3" t="s">
        <x:v>594</x:v>
      </x:c>
      <x:c r="B74" s="3" t="s">
        <x:v>595</x:v>
      </x:c>
      <x:c r="C74" s="3" t="s">
        <x:v>58</x:v>
      </x:c>
      <x:c r="D74" s="3" t="s">
        <x:v>598</x:v>
      </x:c>
      <x:c r="E74" s="3" t="str">
        <x:f>='Reviewer_1'!N75</x:f>
        <x:v>Exclude</x:v>
      </x:c>
      <x:c r="F74" s="3" t="n">
        <x:f>='Reviewer_2'!N75</x:f>
        <x:v>0</x:v>
      </x:c>
      <x:c r="G74" s="3" t="str">
        <x:f>=IF(OR(E74="",F74=""),"Pending",IF(E74=F74,"Agree","Disagree"))</x:f>
        <x:v>Pending</x:v>
      </x:c>
      <x:c r="H74" s="3" t="str">
        <x:f>=IF(G74="Disagree","Conflict",IF(G74="Agree","No conflict","Pending"))</x:f>
        <x:v>Pending</x:v>
      </x:c>
      <x:c r="I74" s="3"/>
      <x:c r="J74" s="3"/>
      <x:c r="K74" s="3" t="s">
        <x:v>1512</x:v>
      </x:c>
      <x:c r="L74" s="3"/>
      <x:c r="M74" s="3"/>
    </x:row>
    <x:row r="75">
      <x:c r="A75" s="3" t="s">
        <x:v>601</x:v>
      </x:c>
      <x:c r="B75" s="3" t="s">
        <x:v>602</x:v>
      </x:c>
      <x:c r="C75" s="3" t="s">
        <x:v>58</x:v>
      </x:c>
      <x:c r="D75" s="3" t="s">
        <x:v>605</x:v>
      </x:c>
      <x:c r="E75" s="3" t="str">
        <x:f>='Reviewer_1'!N76</x:f>
        <x:v>Exclude</x:v>
      </x:c>
      <x:c r="F75" s="3" t="n">
        <x:f>='Reviewer_2'!N76</x:f>
        <x:v>0</x:v>
      </x:c>
      <x:c r="G75" s="3" t="str">
        <x:f>=IF(OR(E75="",F75=""),"Pending",IF(E75=F75,"Agree","Disagree"))</x:f>
        <x:v>Pending</x:v>
      </x:c>
      <x:c r="H75" s="3" t="str">
        <x:f>=IF(G75="Disagree","Conflict",IF(G75="Agree","No conflict","Pending"))</x:f>
        <x:v>Pending</x:v>
      </x:c>
      <x:c r="I75" s="3"/>
      <x:c r="J75" s="3"/>
      <x:c r="K75" s="3" t="s">
        <x:v>1512</x:v>
      </x:c>
      <x:c r="L75" s="3"/>
      <x:c r="M75" s="3"/>
    </x:row>
    <x:row r="76">
      <x:c r="A76" s="3" t="s">
        <x:v>608</x:v>
      </x:c>
      <x:c r="B76" s="3" t="s">
        <x:v>609</x:v>
      </x:c>
      <x:c r="C76" s="3" t="s">
        <x:v>58</x:v>
      </x:c>
      <x:c r="D76" s="3" t="s">
        <x:v>612</x:v>
      </x:c>
      <x:c r="E76" s="3" t="str">
        <x:f>='Reviewer_1'!N77</x:f>
        <x:v>Exclude</x:v>
      </x:c>
      <x:c r="F76" s="3" t="n">
        <x:f>='Reviewer_2'!N77</x:f>
        <x:v>0</x:v>
      </x:c>
      <x:c r="G76" s="3" t="str">
        <x:f>=IF(OR(E76="",F76=""),"Pending",IF(E76=F76,"Agree","Disagree"))</x:f>
        <x:v>Pending</x:v>
      </x:c>
      <x:c r="H76" s="3" t="str">
        <x:f>=IF(G76="Disagree","Conflict",IF(G76="Agree","No conflict","Pending"))</x:f>
        <x:v>Pending</x:v>
      </x:c>
      <x:c r="I76" s="3"/>
      <x:c r="J76" s="3"/>
      <x:c r="K76" s="3" t="s">
        <x:v>1512</x:v>
      </x:c>
      <x:c r="L76" s="3"/>
      <x:c r="M76" s="3"/>
    </x:row>
    <x:row r="77">
      <x:c r="A77" s="3" t="s">
        <x:v>615</x:v>
      </x:c>
      <x:c r="B77" s="3" t="s">
        <x:v>616</x:v>
      </x:c>
      <x:c r="C77" s="3" t="s">
        <x:v>58</x:v>
      </x:c>
      <x:c r="D77" s="3" t="s">
        <x:v>619</x:v>
      </x:c>
      <x:c r="E77" s="3" t="str">
        <x:f>='Reviewer_1'!N78</x:f>
        <x:v>Exclude</x:v>
      </x:c>
      <x:c r="F77" s="3" t="n">
        <x:f>='Reviewer_2'!N78</x:f>
        <x:v>0</x:v>
      </x:c>
      <x:c r="G77" s="3" t="str">
        <x:f>=IF(OR(E77="",F77=""),"Pending",IF(E77=F77,"Agree","Disagree"))</x:f>
        <x:v>Pending</x:v>
      </x:c>
      <x:c r="H77" s="3" t="str">
        <x:f>=IF(G77="Disagree","Conflict",IF(G77="Agree","No conflict","Pending"))</x:f>
        <x:v>Pending</x:v>
      </x:c>
      <x:c r="I77" s="3"/>
      <x:c r="J77" s="3"/>
      <x:c r="K77" s="3" t="s">
        <x:v>1512</x:v>
      </x:c>
      <x:c r="L77" s="3"/>
      <x:c r="M77" s="3"/>
    </x:row>
    <x:row r="78">
      <x:c r="A78" s="3" t="s">
        <x:v>622</x:v>
      </x:c>
      <x:c r="B78" s="3" t="s">
        <x:v>623</x:v>
      </x:c>
      <x:c r="C78" s="3" t="s">
        <x:v>58</x:v>
      </x:c>
      <x:c r="D78" s="3" t="s">
        <x:v>626</x:v>
      </x:c>
      <x:c r="E78" s="3" t="str">
        <x:f>='Reviewer_1'!N79</x:f>
        <x:v>Exclude</x:v>
      </x:c>
      <x:c r="F78" s="3" t="n">
        <x:f>='Reviewer_2'!N79</x:f>
        <x:v>0</x:v>
      </x:c>
      <x:c r="G78" s="3" t="str">
        <x:f>=IF(OR(E78="",F78=""),"Pending",IF(E78=F78,"Agree","Disagree"))</x:f>
        <x:v>Pending</x:v>
      </x:c>
      <x:c r="H78" s="3" t="str">
        <x:f>=IF(G78="Disagree","Conflict",IF(G78="Agree","No conflict","Pending"))</x:f>
        <x:v>Pending</x:v>
      </x:c>
      <x:c r="I78" s="3"/>
      <x:c r="J78" s="3"/>
      <x:c r="K78" s="3" t="s">
        <x:v>1512</x:v>
      </x:c>
      <x:c r="L78" s="3"/>
      <x:c r="M78" s="3"/>
    </x:row>
    <x:row r="79">
      <x:c r="A79" s="3" t="s">
        <x:v>629</x:v>
      </x:c>
      <x:c r="B79" s="3" t="s">
        <x:v>630</x:v>
      </x:c>
      <x:c r="C79" s="3" t="s">
        <x:v>58</x:v>
      </x:c>
      <x:c r="D79" s="3" t="s">
        <x:v>633</x:v>
      </x:c>
      <x:c r="E79" s="3" t="str">
        <x:f>='Reviewer_1'!N80</x:f>
        <x:v>Exclude</x:v>
      </x:c>
      <x:c r="F79" s="3" t="n">
        <x:f>='Reviewer_2'!N80</x:f>
        <x:v>0</x:v>
      </x:c>
      <x:c r="G79" s="3" t="str">
        <x:f>=IF(OR(E79="",F79=""),"Pending",IF(E79=F79,"Agree","Disagree"))</x:f>
        <x:v>Pending</x:v>
      </x:c>
      <x:c r="H79" s="3" t="str">
        <x:f>=IF(G79="Disagree","Conflict",IF(G79="Agree","No conflict","Pending"))</x:f>
        <x:v>Pending</x:v>
      </x:c>
      <x:c r="I79" s="3"/>
      <x:c r="J79" s="3"/>
      <x:c r="K79" s="3" t="s">
        <x:v>1512</x:v>
      </x:c>
      <x:c r="L79" s="3"/>
      <x:c r="M79" s="3"/>
    </x:row>
    <x:row r="80">
      <x:c r="A80" s="3" t="s">
        <x:v>636</x:v>
      </x:c>
      <x:c r="B80" s="3" t="s">
        <x:v>637</x:v>
      </x:c>
      <x:c r="C80" s="3" t="s">
        <x:v>58</x:v>
      </x:c>
      <x:c r="D80" s="3" t="s">
        <x:v>640</x:v>
      </x:c>
      <x:c r="E80" s="3" t="str">
        <x:f>='Reviewer_1'!N81</x:f>
        <x:v>Exclude</x:v>
      </x:c>
      <x:c r="F80" s="3" t="n">
        <x:f>='Reviewer_2'!N81</x:f>
        <x:v>0</x:v>
      </x:c>
      <x:c r="G80" s="3" t="str">
        <x:f>=IF(OR(E80="",F80=""),"Pending",IF(E80=F80,"Agree","Disagree"))</x:f>
        <x:v>Pending</x:v>
      </x:c>
      <x:c r="H80" s="3" t="str">
        <x:f>=IF(G80="Disagree","Conflict",IF(G80="Agree","No conflict","Pending"))</x:f>
        <x:v>Pending</x:v>
      </x:c>
      <x:c r="I80" s="3"/>
      <x:c r="J80" s="3"/>
      <x:c r="K80" s="3" t="s">
        <x:v>1512</x:v>
      </x:c>
      <x:c r="L80" s="3"/>
      <x:c r="M80" s="3"/>
    </x:row>
    <x:row r="81">
      <x:c r="A81" s="3" t="s">
        <x:v>643</x:v>
      </x:c>
      <x:c r="B81" s="3" t="s">
        <x:v>644</x:v>
      </x:c>
      <x:c r="C81" s="3" t="s">
        <x:v>58</x:v>
      </x:c>
      <x:c r="D81" s="3" t="s">
        <x:v>647</x:v>
      </x:c>
      <x:c r="E81" s="3" t="str">
        <x:f>='Reviewer_1'!N82</x:f>
        <x:v>Exclude</x:v>
      </x:c>
      <x:c r="F81" s="3" t="n">
        <x:f>='Reviewer_2'!N82</x:f>
        <x:v>0</x:v>
      </x:c>
      <x:c r="G81" s="3" t="str">
        <x:f>=IF(OR(E81="",F81=""),"Pending",IF(E81=F81,"Agree","Disagree"))</x:f>
        <x:v>Pending</x:v>
      </x:c>
      <x:c r="H81" s="3" t="str">
        <x:f>=IF(G81="Disagree","Conflict",IF(G81="Agree","No conflict","Pending"))</x:f>
        <x:v>Pending</x:v>
      </x:c>
      <x:c r="I81" s="3"/>
      <x:c r="J81" s="3"/>
      <x:c r="K81" s="3" t="s">
        <x:v>1512</x:v>
      </x:c>
      <x:c r="L81" s="3"/>
      <x:c r="M81" s="3"/>
    </x:row>
    <x:row r="82">
      <x:c r="A82" s="3" t="s">
        <x:v>650</x:v>
      </x:c>
      <x:c r="B82" s="3" t="s">
        <x:v>652</x:v>
      </x:c>
      <x:c r="C82" s="3" t="s">
        <x:v>58</x:v>
      </x:c>
      <x:c r="D82" s="3" t="s">
        <x:v>655</x:v>
      </x:c>
      <x:c r="E82" s="3" t="str">
        <x:f>='Reviewer_1'!N83</x:f>
        <x:v>Include</x:v>
      </x:c>
      <x:c r="F82" s="3" t="n">
        <x:f>='Reviewer_2'!N83</x:f>
        <x:v>0</x:v>
      </x:c>
      <x:c r="G82" s="3" t="str">
        <x:f>=IF(OR(E82="",F82=""),"Pending",IF(E82=F82,"Agree","Disagree"))</x:f>
        <x:v>Pending</x:v>
      </x:c>
      <x:c r="H82" s="3" t="str">
        <x:f>=IF(G82="Disagree","Conflict",IF(G82="Agree","No conflict","Pending"))</x:f>
        <x:v>Pending</x:v>
      </x:c>
      <x:c r="I82" s="3"/>
      <x:c r="J82" s="3"/>
      <x:c r="K82" s="3" t="s">
        <x:v>1512</x:v>
      </x:c>
      <x:c r="L82" s="3"/>
      <x:c r="M82" s="3"/>
    </x:row>
    <x:row r="83">
      <x:c r="A83" s="3" t="s">
        <x:v>660</x:v>
      </x:c>
      <x:c r="B83" s="3" t="s">
        <x:v>661</x:v>
      </x:c>
      <x:c r="C83" s="3" t="s">
        <x:v>58</x:v>
      </x:c>
      <x:c r="D83" s="3" t="s">
        <x:v>664</x:v>
      </x:c>
      <x:c r="E83" s="3" t="str">
        <x:f>='Reviewer_1'!N84</x:f>
        <x:v>Exclude</x:v>
      </x:c>
      <x:c r="F83" s="3" t="n">
        <x:f>='Reviewer_2'!N84</x:f>
        <x:v>0</x:v>
      </x:c>
      <x:c r="G83" s="3" t="str">
        <x:f>=IF(OR(E83="",F83=""),"Pending",IF(E83=F83,"Agree","Disagree"))</x:f>
        <x:v>Pending</x:v>
      </x:c>
      <x:c r="H83" s="3" t="str">
        <x:f>=IF(G83="Disagree","Conflict",IF(G83="Agree","No conflict","Pending"))</x:f>
        <x:v>Pending</x:v>
      </x:c>
      <x:c r="I83" s="3"/>
      <x:c r="J83" s="3"/>
      <x:c r="K83" s="3" t="s">
        <x:v>1512</x:v>
      </x:c>
      <x:c r="L83" s="3"/>
      <x:c r="M83" s="3"/>
    </x:row>
    <x:row r="84">
      <x:c r="A84" s="3" t="s">
        <x:v>669</x:v>
      </x:c>
      <x:c r="B84" s="3" t="s">
        <x:v>670</x:v>
      </x:c>
      <x:c r="C84" s="3" t="s">
        <x:v>58</x:v>
      </x:c>
      <x:c r="D84" s="3" t="s">
        <x:v>673</x:v>
      </x:c>
      <x:c r="E84" s="3" t="str">
        <x:f>='Reviewer_1'!N85</x:f>
        <x:v>Exclude</x:v>
      </x:c>
      <x:c r="F84" s="3" t="n">
        <x:f>='Reviewer_2'!N85</x:f>
        <x:v>0</x:v>
      </x:c>
      <x:c r="G84" s="3" t="str">
        <x:f>=IF(OR(E84="",F84=""),"Pending",IF(E84=F84,"Agree","Disagree"))</x:f>
        <x:v>Pending</x:v>
      </x:c>
      <x:c r="H84" s="3" t="str">
        <x:f>=IF(G84="Disagree","Conflict",IF(G84="Agree","No conflict","Pending"))</x:f>
        <x:v>Pending</x:v>
      </x:c>
      <x:c r="I84" s="3"/>
      <x:c r="J84" s="3"/>
      <x:c r="K84" s="3" t="s">
        <x:v>1512</x:v>
      </x:c>
      <x:c r="L84" s="3"/>
      <x:c r="M84" s="3"/>
    </x:row>
    <x:row r="85">
      <x:c r="A85" s="3" t="s">
        <x:v>677</x:v>
      </x:c>
      <x:c r="B85" s="3" t="s">
        <x:v>678</x:v>
      </x:c>
      <x:c r="C85" s="3" t="s">
        <x:v>58</x:v>
      </x:c>
      <x:c r="D85" s="3" t="s">
        <x:v>681</x:v>
      </x:c>
      <x:c r="E85" s="3" t="str">
        <x:f>='Reviewer_1'!N86</x:f>
        <x:v>Include</x:v>
      </x:c>
      <x:c r="F85" s="3" t="n">
        <x:f>='Reviewer_2'!N86</x:f>
        <x:v>0</x:v>
      </x:c>
      <x:c r="G85" s="3" t="str">
        <x:f>=IF(OR(E85="",F85=""),"Pending",IF(E85=F85,"Agree","Disagree"))</x:f>
        <x:v>Pending</x:v>
      </x:c>
      <x:c r="H85" s="3" t="str">
        <x:f>=IF(G85="Disagree","Conflict",IF(G85="Agree","No conflict","Pending"))</x:f>
        <x:v>Pending</x:v>
      </x:c>
      <x:c r="I85" s="3"/>
      <x:c r="J85" s="3"/>
      <x:c r="K85" s="3" t="s">
        <x:v>1512</x:v>
      </x:c>
      <x:c r="L85" s="3"/>
      <x:c r="M85" s="3"/>
    </x:row>
    <x:row r="86">
      <x:c r="A86" s="3" t="s">
        <x:v>685</x:v>
      </x:c>
      <x:c r="B86" s="3" t="s">
        <x:v>686</x:v>
      </x:c>
      <x:c r="C86" s="3" t="s">
        <x:v>58</x:v>
      </x:c>
      <x:c r="D86" s="3" t="s">
        <x:v>689</x:v>
      </x:c>
      <x:c r="E86" s="3" t="str">
        <x:f>='Reviewer_1'!N87</x:f>
        <x:v>Exclude</x:v>
      </x:c>
      <x:c r="F86" s="3" t="n">
        <x:f>='Reviewer_2'!N87</x:f>
        <x:v>0</x:v>
      </x:c>
      <x:c r="G86" s="3" t="str">
        <x:f>=IF(OR(E86="",F86=""),"Pending",IF(E86=F86,"Agree","Disagree"))</x:f>
        <x:v>Pending</x:v>
      </x:c>
      <x:c r="H86" s="3" t="str">
        <x:f>=IF(G86="Disagree","Conflict",IF(G86="Agree","No conflict","Pending"))</x:f>
        <x:v>Pending</x:v>
      </x:c>
      <x:c r="I86" s="3"/>
      <x:c r="J86" s="3"/>
      <x:c r="K86" s="3" t="s">
        <x:v>1512</x:v>
      </x:c>
      <x:c r="L86" s="3"/>
      <x:c r="M86" s="3"/>
    </x:row>
    <x:row r="87">
      <x:c r="A87" s="3" t="s">
        <x:v>694</x:v>
      </x:c>
      <x:c r="B87" s="3" t="s">
        <x:v>695</x:v>
      </x:c>
      <x:c r="C87" s="3" t="s">
        <x:v>58</x:v>
      </x:c>
      <x:c r="D87" s="3" t="s">
        <x:v>698</x:v>
      </x:c>
      <x:c r="E87" s="3" t="str">
        <x:f>='Reviewer_1'!N88</x:f>
        <x:v>Exclude</x:v>
      </x:c>
      <x:c r="F87" s="3" t="n">
        <x:f>='Reviewer_2'!N88</x:f>
        <x:v>0</x:v>
      </x:c>
      <x:c r="G87" s="3" t="str">
        <x:f>=IF(OR(E87="",F87=""),"Pending",IF(E87=F87,"Agree","Disagree"))</x:f>
        <x:v>Pending</x:v>
      </x:c>
      <x:c r="H87" s="3" t="str">
        <x:f>=IF(G87="Disagree","Conflict",IF(G87="Agree","No conflict","Pending"))</x:f>
        <x:v>Pending</x:v>
      </x:c>
      <x:c r="I87" s="3"/>
      <x:c r="J87" s="3"/>
      <x:c r="K87" s="3" t="s">
        <x:v>1512</x:v>
      </x:c>
      <x:c r="L87" s="3"/>
      <x:c r="M87" s="3"/>
    </x:row>
    <x:row r="88">
      <x:c r="A88" s="3" t="s">
        <x:v>703</x:v>
      </x:c>
      <x:c r="B88" s="3" t="s">
        <x:v>704</x:v>
      </x:c>
      <x:c r="C88" s="3" t="s">
        <x:v>58</x:v>
      </x:c>
      <x:c r="D88" s="3" t="s">
        <x:v>707</x:v>
      </x:c>
      <x:c r="E88" s="3" t="str">
        <x:f>='Reviewer_1'!N89</x:f>
        <x:v>Include</x:v>
      </x:c>
      <x:c r="F88" s="3" t="n">
        <x:f>='Reviewer_2'!N89</x:f>
        <x:v>0</x:v>
      </x:c>
      <x:c r="G88" s="3" t="str">
        <x:f>=IF(OR(E88="",F88=""),"Pending",IF(E88=F88,"Agree","Disagree"))</x:f>
        <x:v>Pending</x:v>
      </x:c>
      <x:c r="H88" s="3" t="str">
        <x:f>=IF(G88="Disagree","Conflict",IF(G88="Agree","No conflict","Pending"))</x:f>
        <x:v>Pending</x:v>
      </x:c>
      <x:c r="I88" s="3"/>
      <x:c r="J88" s="3"/>
      <x:c r="K88" s="3" t="s">
        <x:v>1512</x:v>
      </x:c>
      <x:c r="L88" s="3"/>
      <x:c r="M88" s="3"/>
    </x:row>
    <x:row r="89">
      <x:c r="A89" s="3" t="s">
        <x:v>711</x:v>
      </x:c>
      <x:c r="B89" s="3" t="s">
        <x:v>712</x:v>
      </x:c>
      <x:c r="C89" s="3" t="s">
        <x:v>58</x:v>
      </x:c>
      <x:c r="D89" s="3" t="s">
        <x:v>714</x:v>
      </x:c>
      <x:c r="E89" s="3" t="str">
        <x:f>='Reviewer_1'!N90</x:f>
        <x:v>Include</x:v>
      </x:c>
      <x:c r="F89" s="3" t="n">
        <x:f>='Reviewer_2'!N90</x:f>
        <x:v>0</x:v>
      </x:c>
      <x:c r="G89" s="3" t="str">
        <x:f>=IF(OR(E89="",F89=""),"Pending",IF(E89=F89,"Agree","Disagree"))</x:f>
        <x:v>Pending</x:v>
      </x:c>
      <x:c r="H89" s="3" t="str">
        <x:f>=IF(G89="Disagree","Conflict",IF(G89="Agree","No conflict","Pending"))</x:f>
        <x:v>Pending</x:v>
      </x:c>
      <x:c r="I89" s="3"/>
      <x:c r="J89" s="3"/>
      <x:c r="K89" s="3" t="s">
        <x:v>1512</x:v>
      </x:c>
      <x:c r="L89" s="3"/>
      <x:c r="M89" s="3"/>
    </x:row>
    <x:row r="90">
      <x:c r="A90" s="3" t="s">
        <x:v>718</x:v>
      </x:c>
      <x:c r="B90" s="3" t="s">
        <x:v>719</x:v>
      </x:c>
      <x:c r="C90" s="3" t="s">
        <x:v>58</x:v>
      </x:c>
      <x:c r="D90" s="3" t="s">
        <x:v>722</x:v>
      </x:c>
      <x:c r="E90" s="3" t="str">
        <x:f>='Reviewer_1'!N91</x:f>
        <x:v>Exclude</x:v>
      </x:c>
      <x:c r="F90" s="3" t="n">
        <x:f>='Reviewer_2'!N91</x:f>
        <x:v>0</x:v>
      </x:c>
      <x:c r="G90" s="3" t="str">
        <x:f>=IF(OR(E90="",F90=""),"Pending",IF(E90=F90,"Agree","Disagree"))</x:f>
        <x:v>Pending</x:v>
      </x:c>
      <x:c r="H90" s="3" t="str">
        <x:f>=IF(G90="Disagree","Conflict",IF(G90="Agree","No conflict","Pending"))</x:f>
        <x:v>Pending</x:v>
      </x:c>
      <x:c r="I90" s="3"/>
      <x:c r="J90" s="3"/>
      <x:c r="K90" s="3" t="s">
        <x:v>1512</x:v>
      </x:c>
      <x:c r="L90" s="3"/>
      <x:c r="M90" s="3"/>
    </x:row>
    <x:row r="91">
      <x:c r="A91" s="3" t="s">
        <x:v>726</x:v>
      </x:c>
      <x:c r="B91" s="3" t="s">
        <x:v>727</x:v>
      </x:c>
      <x:c r="C91" s="3" t="s">
        <x:v>58</x:v>
      </x:c>
      <x:c r="D91" s="3" t="s">
        <x:v>730</x:v>
      </x:c>
      <x:c r="E91" s="3" t="str">
        <x:f>='Reviewer_1'!N92</x:f>
        <x:v>Exclude</x:v>
      </x:c>
      <x:c r="F91" s="3" t="n">
        <x:f>='Reviewer_2'!N92</x:f>
        <x:v>0</x:v>
      </x:c>
      <x:c r="G91" s="3" t="str">
        <x:f>=IF(OR(E91="",F91=""),"Pending",IF(E91=F91,"Agree","Disagree"))</x:f>
        <x:v>Pending</x:v>
      </x:c>
      <x:c r="H91" s="3" t="str">
        <x:f>=IF(G91="Disagree","Conflict",IF(G91="Agree","No conflict","Pending"))</x:f>
        <x:v>Pending</x:v>
      </x:c>
      <x:c r="I91" s="3"/>
      <x:c r="J91" s="3"/>
      <x:c r="K91" s="3" t="s">
        <x:v>1512</x:v>
      </x:c>
      <x:c r="L91" s="3"/>
      <x:c r="M91" s="3"/>
    </x:row>
    <x:row r="92">
      <x:c r="A92" s="3" t="s">
        <x:v>735</x:v>
      </x:c>
      <x:c r="B92" s="3" t="s">
        <x:v>736</x:v>
      </x:c>
      <x:c r="C92" s="3" t="s">
        <x:v>58</x:v>
      </x:c>
      <x:c r="D92" s="3" t="s">
        <x:v>173</x:v>
      </x:c>
      <x:c r="E92" s="3" t="str">
        <x:f>='Reviewer_1'!N93</x:f>
        <x:v>Exclude</x:v>
      </x:c>
      <x:c r="F92" s="3" t="n">
        <x:f>='Reviewer_2'!N93</x:f>
        <x:v>0</x:v>
      </x:c>
      <x:c r="G92" s="3" t="str">
        <x:f>=IF(OR(E92="",F92=""),"Pending",IF(E92=F92,"Agree","Disagree"))</x:f>
        <x:v>Pending</x:v>
      </x:c>
      <x:c r="H92" s="3" t="str">
        <x:f>=IF(G92="Disagree","Conflict",IF(G92="Agree","No conflict","Pending"))</x:f>
        <x:v>Pending</x:v>
      </x:c>
      <x:c r="I92" s="3"/>
      <x:c r="J92" s="3"/>
      <x:c r="K92" s="3" t="s">
        <x:v>1512</x:v>
      </x:c>
      <x:c r="L92" s="3"/>
      <x:c r="M92" s="3"/>
    </x:row>
    <x:row r="93">
      <x:c r="A93" s="3" t="s">
        <x:v>742</x:v>
      </x:c>
      <x:c r="B93" s="3" t="s">
        <x:v>743</x:v>
      </x:c>
      <x:c r="C93" s="3" t="s">
        <x:v>58</x:v>
      </x:c>
      <x:c r="D93" s="3" t="s">
        <x:v>746</x:v>
      </x:c>
      <x:c r="E93" s="3" t="str">
        <x:f>='Reviewer_1'!N94</x:f>
        <x:v>Include</x:v>
      </x:c>
      <x:c r="F93" s="3" t="n">
        <x:f>='Reviewer_2'!N94</x:f>
        <x:v>0</x:v>
      </x:c>
      <x:c r="G93" s="3" t="str">
        <x:f>=IF(OR(E93="",F93=""),"Pending",IF(E93=F93,"Agree","Disagree"))</x:f>
        <x:v>Pending</x:v>
      </x:c>
      <x:c r="H93" s="3" t="str">
        <x:f>=IF(G93="Disagree","Conflict",IF(G93="Agree","No conflict","Pending"))</x:f>
        <x:v>Pending</x:v>
      </x:c>
      <x:c r="I93" s="3"/>
      <x:c r="J93" s="3"/>
      <x:c r="K93" s="3" t="s">
        <x:v>1512</x:v>
      </x:c>
      <x:c r="L93" s="3"/>
      <x:c r="M93" s="3"/>
    </x:row>
    <x:row r="94">
      <x:c r="A94" s="3" t="s">
        <x:v>750</x:v>
      </x:c>
      <x:c r="B94" s="3" t="s">
        <x:v>751</x:v>
      </x:c>
      <x:c r="C94" s="3" t="s">
        <x:v>58</x:v>
      </x:c>
      <x:c r="D94" s="3" t="s">
        <x:v>754</x:v>
      </x:c>
      <x:c r="E94" s="3" t="str">
        <x:f>='Reviewer_1'!N95</x:f>
        <x:v>Exclude</x:v>
      </x:c>
      <x:c r="F94" s="3" t="n">
        <x:f>='Reviewer_2'!N95</x:f>
        <x:v>0</x:v>
      </x:c>
      <x:c r="G94" s="3" t="str">
        <x:f>=IF(OR(E94="",F94=""),"Pending",IF(E94=F94,"Agree","Disagree"))</x:f>
        <x:v>Pending</x:v>
      </x:c>
      <x:c r="H94" s="3" t="str">
        <x:f>=IF(G94="Disagree","Conflict",IF(G94="Agree","No conflict","Pending"))</x:f>
        <x:v>Pending</x:v>
      </x:c>
      <x:c r="I94" s="3"/>
      <x:c r="J94" s="3"/>
      <x:c r="K94" s="3" t="s">
        <x:v>1512</x:v>
      </x:c>
      <x:c r="L94" s="3"/>
      <x:c r="M94" s="3"/>
    </x:row>
    <x:row r="95">
      <x:c r="A95" s="3" t="s">
        <x:v>759</x:v>
      </x:c>
      <x:c r="B95" s="3" t="s">
        <x:v>760</x:v>
      </x:c>
      <x:c r="C95" s="3" t="s">
        <x:v>58</x:v>
      </x:c>
      <x:c r="D95" s="3" t="s">
        <x:v>763</x:v>
      </x:c>
      <x:c r="E95" s="3" t="str">
        <x:f>='Reviewer_1'!N96</x:f>
        <x:v>Exclude</x:v>
      </x:c>
      <x:c r="F95" s="3" t="n">
        <x:f>='Reviewer_2'!N96</x:f>
        <x:v>0</x:v>
      </x:c>
      <x:c r="G95" s="3" t="str">
        <x:f>=IF(OR(E95="",F95=""),"Pending",IF(E95=F95,"Agree","Disagree"))</x:f>
        <x:v>Pending</x:v>
      </x:c>
      <x:c r="H95" s="3" t="str">
        <x:f>=IF(G95="Disagree","Conflict",IF(G95="Agree","No conflict","Pending"))</x:f>
        <x:v>Pending</x:v>
      </x:c>
      <x:c r="I95" s="3"/>
      <x:c r="J95" s="3"/>
      <x:c r="K95" s="3" t="s">
        <x:v>1512</x:v>
      </x:c>
      <x:c r="L95" s="3"/>
      <x:c r="M95" s="3"/>
    </x:row>
    <x:row r="96">
      <x:c r="A96" s="3" t="s">
        <x:v>767</x:v>
      </x:c>
      <x:c r="B96" s="3" t="s">
        <x:v>768</x:v>
      </x:c>
      <x:c r="C96" s="3" t="s">
        <x:v>58</x:v>
      </x:c>
      <x:c r="D96" s="3" t="s">
        <x:v>771</x:v>
      </x:c>
      <x:c r="E96" s="3" t="str">
        <x:f>='Reviewer_1'!N97</x:f>
        <x:v>Exclude</x:v>
      </x:c>
      <x:c r="F96" s="3" t="n">
        <x:f>='Reviewer_2'!N97</x:f>
        <x:v>0</x:v>
      </x:c>
      <x:c r="G96" s="3" t="str">
        <x:f>=IF(OR(E96="",F96=""),"Pending",IF(E96=F96,"Agree","Disagree"))</x:f>
        <x:v>Pending</x:v>
      </x:c>
      <x:c r="H96" s="3" t="str">
        <x:f>=IF(G96="Disagree","Conflict",IF(G96="Agree","No conflict","Pending"))</x:f>
        <x:v>Pending</x:v>
      </x:c>
      <x:c r="I96" s="3"/>
      <x:c r="J96" s="3"/>
      <x:c r="K96" s="3" t="s">
        <x:v>1512</x:v>
      </x:c>
      <x:c r="L96" s="3"/>
      <x:c r="M96" s="3"/>
    </x:row>
    <x:row r="97">
      <x:c r="A97" s="3" t="s">
        <x:v>776</x:v>
      </x:c>
      <x:c r="B97" s="3" t="s">
        <x:v>777</x:v>
      </x:c>
      <x:c r="C97" s="3" t="s">
        <x:v>58</x:v>
      </x:c>
      <x:c r="D97" s="3" t="s">
        <x:v>780</x:v>
      </x:c>
      <x:c r="E97" s="3" t="str">
        <x:f>='Reviewer_1'!N98</x:f>
        <x:v>Exclude</x:v>
      </x:c>
      <x:c r="F97" s="3" t="n">
        <x:f>='Reviewer_2'!N98</x:f>
        <x:v>0</x:v>
      </x:c>
      <x:c r="G97" s="3" t="str">
        <x:f>=IF(OR(E97="",F97=""),"Pending",IF(E97=F97,"Agree","Disagree"))</x:f>
        <x:v>Pending</x:v>
      </x:c>
      <x:c r="H97" s="3" t="str">
        <x:f>=IF(G97="Disagree","Conflict",IF(G97="Agree","No conflict","Pending"))</x:f>
        <x:v>Pending</x:v>
      </x:c>
      <x:c r="I97" s="3"/>
      <x:c r="J97" s="3"/>
      <x:c r="K97" s="3" t="s">
        <x:v>1512</x:v>
      </x:c>
      <x:c r="L97" s="3"/>
      <x:c r="M97" s="3"/>
    </x:row>
    <x:row r="98">
      <x:c r="A98" s="3" t="s">
        <x:v>785</x:v>
      </x:c>
      <x:c r="B98" s="3" t="s">
        <x:v>786</x:v>
      </x:c>
      <x:c r="C98" s="3" t="s">
        <x:v>58</x:v>
      </x:c>
      <x:c r="D98" s="3" t="s">
        <x:v>754</x:v>
      </x:c>
      <x:c r="E98" s="3" t="str">
        <x:f>='Reviewer_1'!N99</x:f>
        <x:v>Include</x:v>
      </x:c>
      <x:c r="F98" s="3" t="n">
        <x:f>='Reviewer_2'!N99</x:f>
        <x:v>0</x:v>
      </x:c>
      <x:c r="G98" s="3" t="str">
        <x:f>=IF(OR(E98="",F98=""),"Pending",IF(E98=F98,"Agree","Disagree"))</x:f>
        <x:v>Pending</x:v>
      </x:c>
      <x:c r="H98" s="3" t="str">
        <x:f>=IF(G98="Disagree","Conflict",IF(G98="Agree","No conflict","Pending"))</x:f>
        <x:v>Pending</x:v>
      </x:c>
      <x:c r="I98" s="3"/>
      <x:c r="J98" s="3"/>
      <x:c r="K98" s="3" t="s">
        <x:v>1512</x:v>
      </x:c>
      <x:c r="L98" s="3"/>
      <x:c r="M98" s="3"/>
    </x:row>
    <x:row r="99">
      <x:c r="A99" s="3" t="s">
        <x:v>792</x:v>
      </x:c>
      <x:c r="B99" s="3" t="s">
        <x:v>793</x:v>
      </x:c>
      <x:c r="C99" s="3" t="s">
        <x:v>58</x:v>
      </x:c>
      <x:c r="D99" s="3" t="s">
        <x:v>796</x:v>
      </x:c>
      <x:c r="E99" s="3" t="str">
        <x:f>='Reviewer_1'!N100</x:f>
        <x:v>Exclude</x:v>
      </x:c>
      <x:c r="F99" s="3" t="n">
        <x:f>='Reviewer_2'!N100</x:f>
        <x:v>0</x:v>
      </x:c>
      <x:c r="G99" s="3" t="str">
        <x:f>=IF(OR(E99="",F99=""),"Pending",IF(E99=F99,"Agree","Disagree"))</x:f>
        <x:v>Pending</x:v>
      </x:c>
      <x:c r="H99" s="3" t="str">
        <x:f>=IF(G99="Disagree","Conflict",IF(G99="Agree","No conflict","Pending"))</x:f>
        <x:v>Pending</x:v>
      </x:c>
      <x:c r="I99" s="3"/>
      <x:c r="J99" s="3"/>
      <x:c r="K99" s="3" t="s">
        <x:v>1512</x:v>
      </x:c>
      <x:c r="L99" s="3"/>
      <x:c r="M99" s="3"/>
    </x:row>
    <x:row r="100">
      <x:c r="A100" s="3" t="s">
        <x:v>800</x:v>
      </x:c>
      <x:c r="B100" s="3" t="s">
        <x:v>801</x:v>
      </x:c>
      <x:c r="C100" s="3" t="s">
        <x:v>70</x:v>
      </x:c>
      <x:c r="D100" s="3" t="s">
        <x:v>804</x:v>
      </x:c>
      <x:c r="E100" s="3" t="str">
        <x:f>='Reviewer_1'!N101</x:f>
        <x:v>Exclude</x:v>
      </x:c>
      <x:c r="F100" s="3" t="n">
        <x:f>='Reviewer_2'!N101</x:f>
        <x:v>0</x:v>
      </x:c>
      <x:c r="G100" s="3" t="str">
        <x:f>=IF(OR(E100="",F100=""),"Pending",IF(E100=F100,"Agree","Disagree"))</x:f>
        <x:v>Pending</x:v>
      </x:c>
      <x:c r="H100" s="3" t="str">
        <x:f>=IF(G100="Disagree","Conflict",IF(G100="Agree","No conflict","Pending"))</x:f>
        <x:v>Pending</x:v>
      </x:c>
      <x:c r="I100" s="3"/>
      <x:c r="J100" s="3"/>
      <x:c r="K100" s="3" t="s">
        <x:v>1512</x:v>
      </x:c>
      <x:c r="L100" s="3"/>
      <x:c r="M100" s="3"/>
    </x:row>
    <x:row r="101">
      <x:c r="A101" s="3" t="s">
        <x:v>808</x:v>
      </x:c>
      <x:c r="B101" s="3" t="s">
        <x:v>809</x:v>
      </x:c>
      <x:c r="C101" s="3" t="s">
        <x:v>58</x:v>
      </x:c>
      <x:c r="D101" s="3" t="s">
        <x:v>256</x:v>
      </x:c>
      <x:c r="E101" s="3" t="str">
        <x:f>='Reviewer_1'!N102</x:f>
        <x:v>Include</x:v>
      </x:c>
      <x:c r="F101" s="3" t="n">
        <x:f>='Reviewer_2'!N102</x:f>
        <x:v>0</x:v>
      </x:c>
      <x:c r="G101" s="3" t="str">
        <x:f>=IF(OR(E101="",F101=""),"Pending",IF(E101=F101,"Agree","Disagree"))</x:f>
        <x:v>Pending</x:v>
      </x:c>
      <x:c r="H101" s="3" t="str">
        <x:f>=IF(G101="Disagree","Conflict",IF(G101="Agree","No conflict","Pending"))</x:f>
        <x:v>Pending</x:v>
      </x:c>
      <x:c r="I101" s="3"/>
      <x:c r="J101" s="3"/>
      <x:c r="K101" s="3" t="s">
        <x:v>1512</x:v>
      </x:c>
      <x:c r="L101" s="3"/>
      <x:c r="M101" s="3"/>
    </x:row>
    <x:row r="102">
      <x:c r="A102" s="3" t="s">
        <x:v>816</x:v>
      </x:c>
      <x:c r="B102" s="3" t="s">
        <x:v>817</x:v>
      </x:c>
      <x:c r="C102" s="3" t="s">
        <x:v>70</x:v>
      </x:c>
      <x:c r="D102" s="3" t="s">
        <x:v>681</x:v>
      </x:c>
      <x:c r="E102" s="3" t="str">
        <x:f>='Reviewer_1'!N103</x:f>
        <x:v>Exclude</x:v>
      </x:c>
      <x:c r="F102" s="3" t="n">
        <x:f>='Reviewer_2'!N103</x:f>
        <x:v>0</x:v>
      </x:c>
      <x:c r="G102" s="3" t="str">
        <x:f>=IF(OR(E102="",F102=""),"Pending",IF(E102=F102,"Agree","Disagree"))</x:f>
        <x:v>Pending</x:v>
      </x:c>
      <x:c r="H102" s="3" t="str">
        <x:f>=IF(G102="Disagree","Conflict",IF(G102="Agree","No conflict","Pending"))</x:f>
        <x:v>Pending</x:v>
      </x:c>
      <x:c r="I102" s="3"/>
      <x:c r="J102" s="3"/>
      <x:c r="K102" s="3" t="s">
        <x:v>1512</x:v>
      </x:c>
      <x:c r="L102" s="3"/>
      <x:c r="M102" s="3"/>
    </x:row>
    <x:row r="103">
      <x:c r="A103" s="3" t="s">
        <x:v>823</x:v>
      </x:c>
      <x:c r="B103" s="3" t="s">
        <x:v>824</x:v>
      </x:c>
      <x:c r="C103" s="3" t="s">
        <x:v>58</x:v>
      </x:c>
      <x:c r="D103" s="3" t="s">
        <x:v>827</x:v>
      </x:c>
      <x:c r="E103" s="3" t="str">
        <x:f>='Reviewer_1'!N104</x:f>
        <x:v>Include</x:v>
      </x:c>
      <x:c r="F103" s="3" t="n">
        <x:f>='Reviewer_2'!N104</x:f>
        <x:v>0</x:v>
      </x:c>
      <x:c r="G103" s="3" t="str">
        <x:f>=IF(OR(E103="",F103=""),"Pending",IF(E103=F103,"Agree","Disagree"))</x:f>
        <x:v>Pending</x:v>
      </x:c>
      <x:c r="H103" s="3" t="str">
        <x:f>=IF(G103="Disagree","Conflict",IF(G103="Agree","No conflict","Pending"))</x:f>
        <x:v>Pending</x:v>
      </x:c>
      <x:c r="I103" s="3"/>
      <x:c r="J103" s="3"/>
      <x:c r="K103" s="3" t="s">
        <x:v>1512</x:v>
      </x:c>
      <x:c r="L103" s="3"/>
      <x:c r="M103" s="3"/>
    </x:row>
    <x:row r="104">
      <x:c r="A104" s="3" t="s">
        <x:v>832</x:v>
      </x:c>
      <x:c r="B104" s="3" t="s">
        <x:v>833</x:v>
      </x:c>
      <x:c r="C104" s="3" t="s">
        <x:v>58</x:v>
      </x:c>
      <x:c r="D104" s="3" t="s">
        <x:v>836</x:v>
      </x:c>
      <x:c r="E104" s="3" t="str">
        <x:f>='Reviewer_1'!N105</x:f>
        <x:v>Exclude</x:v>
      </x:c>
      <x:c r="F104" s="3" t="n">
        <x:f>='Reviewer_2'!N105</x:f>
        <x:v>0</x:v>
      </x:c>
      <x:c r="G104" s="3" t="str">
        <x:f>=IF(OR(E104="",F104=""),"Pending",IF(E104=F104,"Agree","Disagree"))</x:f>
        <x:v>Pending</x:v>
      </x:c>
      <x:c r="H104" s="3" t="str">
        <x:f>=IF(G104="Disagree","Conflict",IF(G104="Agree","No conflict","Pending"))</x:f>
        <x:v>Pending</x:v>
      </x:c>
      <x:c r="I104" s="3"/>
      <x:c r="J104" s="3"/>
      <x:c r="K104" s="3" t="s">
        <x:v>1512</x:v>
      </x:c>
      <x:c r="L104" s="3"/>
      <x:c r="M104" s="3"/>
    </x:row>
    <x:row r="105">
      <x:c r="A105" s="3" t="s">
        <x:v>840</x:v>
      </x:c>
      <x:c r="B105" s="3" t="s">
        <x:v>841</x:v>
      </x:c>
      <x:c r="C105" s="3" t="s">
        <x:v>70</x:v>
      </x:c>
      <x:c r="D105" s="3" t="s">
        <x:v>796</x:v>
      </x:c>
      <x:c r="E105" s="3" t="str">
        <x:f>='Reviewer_1'!N106</x:f>
        <x:v>Exclude</x:v>
      </x:c>
      <x:c r="F105" s="3" t="n">
        <x:f>='Reviewer_2'!N106</x:f>
        <x:v>0</x:v>
      </x:c>
      <x:c r="G105" s="3" t="str">
        <x:f>=IF(OR(E105="",F105=""),"Pending",IF(E105=F105,"Agree","Disagree"))</x:f>
        <x:v>Pending</x:v>
      </x:c>
      <x:c r="H105" s="3" t="str">
        <x:f>=IF(G105="Disagree","Conflict",IF(G105="Agree","No conflict","Pending"))</x:f>
        <x:v>Pending</x:v>
      </x:c>
      <x:c r="I105" s="3"/>
      <x:c r="J105" s="3"/>
      <x:c r="K105" s="3" t="s">
        <x:v>1512</x:v>
      </x:c>
      <x:c r="L105" s="3"/>
      <x:c r="M105" s="3"/>
    </x:row>
    <x:row r="106">
      <x:c r="A106" s="3" t="s">
        <x:v>847</x:v>
      </x:c>
      <x:c r="B106" s="3" t="s">
        <x:v>848</x:v>
      </x:c>
      <x:c r="C106" s="3" t="s">
        <x:v>58</x:v>
      </x:c>
      <x:c r="D106" s="3" t="s">
        <x:v>851</x:v>
      </x:c>
      <x:c r="E106" s="3" t="str">
        <x:f>='Reviewer_1'!N107</x:f>
        <x:v>Exclude</x:v>
      </x:c>
      <x:c r="F106" s="3" t="n">
        <x:f>='Reviewer_2'!N107</x:f>
        <x:v>0</x:v>
      </x:c>
      <x:c r="G106" s="3" t="str">
        <x:f>=IF(OR(E106="",F106=""),"Pending",IF(E106=F106,"Agree","Disagree"))</x:f>
        <x:v>Pending</x:v>
      </x:c>
      <x:c r="H106" s="3" t="str">
        <x:f>=IF(G106="Disagree","Conflict",IF(G106="Agree","No conflict","Pending"))</x:f>
        <x:v>Pending</x:v>
      </x:c>
      <x:c r="I106" s="3"/>
      <x:c r="J106" s="3"/>
      <x:c r="K106" s="3" t="s">
        <x:v>1512</x:v>
      </x:c>
      <x:c r="L106" s="3"/>
      <x:c r="M106" s="3"/>
    </x:row>
    <x:row r="107">
      <x:c r="A107" s="3" t="s">
        <x:v>855</x:v>
      </x:c>
      <x:c r="B107" s="3" t="s">
        <x:v>856</x:v>
      </x:c>
      <x:c r="C107" s="3" t="s">
        <x:v>58</x:v>
      </x:c>
      <x:c r="D107" s="3" t="s">
        <x:v>859</x:v>
      </x:c>
      <x:c r="E107" s="3" t="str">
        <x:f>='Reviewer_1'!N108</x:f>
        <x:v>Exclude</x:v>
      </x:c>
      <x:c r="F107" s="3" t="n">
        <x:f>='Reviewer_2'!N108</x:f>
        <x:v>0</x:v>
      </x:c>
      <x:c r="G107" s="3" t="str">
        <x:f>=IF(OR(E107="",F107=""),"Pending",IF(E107=F107,"Agree","Disagree"))</x:f>
        <x:v>Pending</x:v>
      </x:c>
      <x:c r="H107" s="3" t="str">
        <x:f>=IF(G107="Disagree","Conflict",IF(G107="Agree","No conflict","Pending"))</x:f>
        <x:v>Pending</x:v>
      </x:c>
      <x:c r="I107" s="3"/>
      <x:c r="J107" s="3"/>
      <x:c r="K107" s="3" t="s">
        <x:v>1512</x:v>
      </x:c>
      <x:c r="L107" s="3"/>
      <x:c r="M107" s="3"/>
    </x:row>
    <x:row r="108">
      <x:c r="A108" s="3" t="s">
        <x:v>864</x:v>
      </x:c>
      <x:c r="B108" s="3" t="s">
        <x:v>865</x:v>
      </x:c>
      <x:c r="C108" s="3" t="s">
        <x:v>70</x:v>
      </x:c>
      <x:c r="D108" s="3" t="s">
        <x:v>868</x:v>
      </x:c>
      <x:c r="E108" s="3" t="str">
        <x:f>='Reviewer_1'!N109</x:f>
        <x:v>Exclude</x:v>
      </x:c>
      <x:c r="F108" s="3" t="n">
        <x:f>='Reviewer_2'!N109</x:f>
        <x:v>0</x:v>
      </x:c>
      <x:c r="G108" s="3" t="str">
        <x:f>=IF(OR(E108="",F108=""),"Pending",IF(E108=F108,"Agree","Disagree"))</x:f>
        <x:v>Pending</x:v>
      </x:c>
      <x:c r="H108" s="3" t="str">
        <x:f>=IF(G108="Disagree","Conflict",IF(G108="Agree","No conflict","Pending"))</x:f>
        <x:v>Pending</x:v>
      </x:c>
      <x:c r="I108" s="3"/>
      <x:c r="J108" s="3"/>
      <x:c r="K108" s="3" t="s">
        <x:v>1512</x:v>
      </x:c>
      <x:c r="L108" s="3"/>
      <x:c r="M108" s="3"/>
    </x:row>
    <x:row r="109">
      <x:c r="A109" s="3" t="s">
        <x:v>873</x:v>
      </x:c>
      <x:c r="B109" s="3" t="s">
        <x:v>874</x:v>
      </x:c>
      <x:c r="C109" s="3" t="s">
        <x:v>58</x:v>
      </x:c>
      <x:c r="D109" s="3" t="s">
        <x:v>877</x:v>
      </x:c>
      <x:c r="E109" s="3" t="str">
        <x:f>='Reviewer_1'!N110</x:f>
        <x:v>Exclude</x:v>
      </x:c>
      <x:c r="F109" s="3" t="n">
        <x:f>='Reviewer_2'!N110</x:f>
        <x:v>0</x:v>
      </x:c>
      <x:c r="G109" s="3" t="str">
        <x:f>=IF(OR(E109="",F109=""),"Pending",IF(E109=F109,"Agree","Disagree"))</x:f>
        <x:v>Pending</x:v>
      </x:c>
      <x:c r="H109" s="3" t="str">
        <x:f>=IF(G109="Disagree","Conflict",IF(G109="Agree","No conflict","Pending"))</x:f>
        <x:v>Pending</x:v>
      </x:c>
      <x:c r="I109" s="3"/>
      <x:c r="J109" s="3"/>
      <x:c r="K109" s="3" t="s">
        <x:v>1512</x:v>
      </x:c>
      <x:c r="L109" s="3"/>
      <x:c r="M109" s="3"/>
    </x:row>
    <x:row r="110">
      <x:c r="A110" s="3" t="s">
        <x:v>881</x:v>
      </x:c>
      <x:c r="B110" s="3" t="s">
        <x:v>882</x:v>
      </x:c>
      <x:c r="C110" s="3" t="s">
        <x:v>70</x:v>
      </x:c>
      <x:c r="D110" s="3" t="s">
        <x:v>681</x:v>
      </x:c>
      <x:c r="E110" s="3" t="str">
        <x:f>='Reviewer_1'!N111</x:f>
        <x:v>Exclude</x:v>
      </x:c>
      <x:c r="F110" s="3" t="n">
        <x:f>='Reviewer_2'!N111</x:f>
        <x:v>0</x:v>
      </x:c>
      <x:c r="G110" s="3" t="str">
        <x:f>=IF(OR(E110="",F110=""),"Pending",IF(E110=F110,"Agree","Disagree"))</x:f>
        <x:v>Pending</x:v>
      </x:c>
      <x:c r="H110" s="3" t="str">
        <x:f>=IF(G110="Disagree","Conflict",IF(G110="Agree","No conflict","Pending"))</x:f>
        <x:v>Pending</x:v>
      </x:c>
      <x:c r="I110" s="3"/>
      <x:c r="J110" s="3"/>
      <x:c r="K110" s="3" t="s">
        <x:v>1512</x:v>
      </x:c>
      <x:c r="L110" s="3"/>
      <x:c r="M110" s="3"/>
    </x:row>
    <x:row r="111">
      <x:c r="A111" s="3" t="s">
        <x:v>888</x:v>
      </x:c>
      <x:c r="B111" s="3" t="s">
        <x:v>889</x:v>
      </x:c>
      <x:c r="C111" s="3" t="s">
        <x:v>70</x:v>
      </x:c>
      <x:c r="D111" s="3" t="s">
        <x:v>127</x:v>
      </x:c>
      <x:c r="E111" s="3" t="str">
        <x:f>='Reviewer_1'!N112</x:f>
        <x:v>Exclude</x:v>
      </x:c>
      <x:c r="F111" s="3" t="n">
        <x:f>='Reviewer_2'!N112</x:f>
        <x:v>0</x:v>
      </x:c>
      <x:c r="G111" s="3" t="str">
        <x:f>=IF(OR(E111="",F111=""),"Pending",IF(E111=F111,"Agree","Disagree"))</x:f>
        <x:v>Pending</x:v>
      </x:c>
      <x:c r="H111" s="3" t="str">
        <x:f>=IF(G111="Disagree","Conflict",IF(G111="Agree","No conflict","Pending"))</x:f>
        <x:v>Pending</x:v>
      </x:c>
      <x:c r="I111" s="3"/>
      <x:c r="J111" s="3"/>
      <x:c r="K111" s="3" t="s">
        <x:v>1512</x:v>
      </x:c>
      <x:c r="L111" s="3"/>
      <x:c r="M111" s="3"/>
    </x:row>
    <x:row r="112">
      <x:c r="A112" s="3" t="s">
        <x:v>896</x:v>
      </x:c>
      <x:c r="B112" s="3" t="s">
        <x:v>897</x:v>
      </x:c>
      <x:c r="C112" s="3" t="s">
        <x:v>58</x:v>
      </x:c>
      <x:c r="D112" s="3" t="s">
        <x:v>900</x:v>
      </x:c>
      <x:c r="E112" s="3" t="str">
        <x:f>='Reviewer_1'!N113</x:f>
        <x:v>Exclude</x:v>
      </x:c>
      <x:c r="F112" s="3" t="n">
        <x:f>='Reviewer_2'!N113</x:f>
        <x:v>0</x:v>
      </x:c>
      <x:c r="G112" s="3" t="str">
        <x:f>=IF(OR(E112="",F112=""),"Pending",IF(E112=F112,"Agree","Disagree"))</x:f>
        <x:v>Pending</x:v>
      </x:c>
      <x:c r="H112" s="3" t="str">
        <x:f>=IF(G112="Disagree","Conflict",IF(G112="Agree","No conflict","Pending"))</x:f>
        <x:v>Pending</x:v>
      </x:c>
      <x:c r="I112" s="3"/>
      <x:c r="J112" s="3"/>
      <x:c r="K112" s="3" t="s">
        <x:v>1512</x:v>
      </x:c>
      <x:c r="L112" s="3"/>
      <x:c r="M112" s="3"/>
    </x:row>
    <x:row r="113">
      <x:c r="A113" s="3" t="s">
        <x:v>904</x:v>
      </x:c>
      <x:c r="B113" s="3" t="s">
        <x:v>905</x:v>
      </x:c>
      <x:c r="C113" s="3" t="s">
        <x:v>58</x:v>
      </x:c>
      <x:c r="D113" s="3" t="s">
        <x:v>908</x:v>
      </x:c>
      <x:c r="E113" s="3" t="str">
        <x:f>='Reviewer_1'!N114</x:f>
        <x:v>Exclude</x:v>
      </x:c>
      <x:c r="F113" s="3" t="n">
        <x:f>='Reviewer_2'!N114</x:f>
        <x:v>0</x:v>
      </x:c>
      <x:c r="G113" s="3" t="str">
        <x:f>=IF(OR(E113="",F113=""),"Pending",IF(E113=F113,"Agree","Disagree"))</x:f>
        <x:v>Pending</x:v>
      </x:c>
      <x:c r="H113" s="3" t="str">
        <x:f>=IF(G113="Disagree","Conflict",IF(G113="Agree","No conflict","Pending"))</x:f>
        <x:v>Pending</x:v>
      </x:c>
      <x:c r="I113" s="3"/>
      <x:c r="J113" s="3"/>
      <x:c r="K113" s="3" t="s">
        <x:v>1512</x:v>
      </x:c>
      <x:c r="L113" s="3"/>
      <x:c r="M113" s="3"/>
    </x:row>
    <x:row r="114">
      <x:c r="A114" s="3" t="s">
        <x:v>912</x:v>
      </x:c>
      <x:c r="B114" s="3" t="s">
        <x:v>913</x:v>
      </x:c>
      <x:c r="C114" s="3" t="s">
        <x:v>70</x:v>
      </x:c>
      <x:c r="D114" s="3" t="s">
        <x:v>916</x:v>
      </x:c>
      <x:c r="E114" s="3" t="str">
        <x:f>='Reviewer_1'!N115</x:f>
        <x:v>Exclude</x:v>
      </x:c>
      <x:c r="F114" s="3" t="n">
        <x:f>='Reviewer_2'!N115</x:f>
        <x:v>0</x:v>
      </x:c>
      <x:c r="G114" s="3" t="str">
        <x:f>=IF(OR(E114="",F114=""),"Pending",IF(E114=F114,"Agree","Disagree"))</x:f>
        <x:v>Pending</x:v>
      </x:c>
      <x:c r="H114" s="3" t="str">
        <x:f>=IF(G114="Disagree","Conflict",IF(G114="Agree","No conflict","Pending"))</x:f>
        <x:v>Pending</x:v>
      </x:c>
      <x:c r="I114" s="3"/>
      <x:c r="J114" s="3"/>
      <x:c r="K114" s="3" t="s">
        <x:v>1512</x:v>
      </x:c>
      <x:c r="L114" s="3"/>
      <x:c r="M114" s="3"/>
    </x:row>
    <x:row r="115">
      <x:c r="A115" s="3" t="s">
        <x:v>920</x:v>
      </x:c>
      <x:c r="B115" s="3" t="s">
        <x:v>921</x:v>
      </x:c>
      <x:c r="C115" s="3" t="s">
        <x:v>70</x:v>
      </x:c>
      <x:c r="D115" s="3" t="s">
        <x:v>924</x:v>
      </x:c>
      <x:c r="E115" s="3" t="str">
        <x:f>='Reviewer_1'!N116</x:f>
        <x:v>Exclude</x:v>
      </x:c>
      <x:c r="F115" s="3" t="n">
        <x:f>='Reviewer_2'!N116</x:f>
        <x:v>0</x:v>
      </x:c>
      <x:c r="G115" s="3" t="str">
        <x:f>=IF(OR(E115="",F115=""),"Pending",IF(E115=F115,"Agree","Disagree"))</x:f>
        <x:v>Pending</x:v>
      </x:c>
      <x:c r="H115" s="3" t="str">
        <x:f>=IF(G115="Disagree","Conflict",IF(G115="Agree","No conflict","Pending"))</x:f>
        <x:v>Pending</x:v>
      </x:c>
      <x:c r="I115" s="3"/>
      <x:c r="J115" s="3"/>
      <x:c r="K115" s="3" t="s">
        <x:v>1512</x:v>
      </x:c>
      <x:c r="L115" s="3"/>
      <x:c r="M115" s="3"/>
    </x:row>
    <x:row r="116">
      <x:c r="A116" s="3" t="s">
        <x:v>928</x:v>
      </x:c>
      <x:c r="B116" s="3" t="s">
        <x:v>929</x:v>
      </x:c>
      <x:c r="C116" s="3" t="s">
        <x:v>70</x:v>
      </x:c>
      <x:c r="D116" s="3" t="s">
        <x:v>208</x:v>
      </x:c>
      <x:c r="E116" s="3" t="str">
        <x:f>='Reviewer_1'!N117</x:f>
        <x:v>Include</x:v>
      </x:c>
      <x:c r="F116" s="3" t="n">
        <x:f>='Reviewer_2'!N117</x:f>
        <x:v>0</x:v>
      </x:c>
      <x:c r="G116" s="3" t="str">
        <x:f>=IF(OR(E116="",F116=""),"Pending",IF(E116=F116,"Agree","Disagree"))</x:f>
        <x:v>Pending</x:v>
      </x:c>
      <x:c r="H116" s="3" t="str">
        <x:f>=IF(G116="Disagree","Conflict",IF(G116="Agree","No conflict","Pending"))</x:f>
        <x:v>Pending</x:v>
      </x:c>
      <x:c r="I116" s="3"/>
      <x:c r="J116" s="3"/>
      <x:c r="K116" s="3" t="s">
        <x:v>1512</x:v>
      </x:c>
      <x:c r="L116" s="3"/>
      <x:c r="M116" s="3"/>
    </x:row>
    <x:row r="117">
      <x:c r="A117" s="3" t="s">
        <x:v>935</x:v>
      </x:c>
      <x:c r="B117" s="3" t="s">
        <x:v>936</x:v>
      </x:c>
      <x:c r="C117" s="3" t="s">
        <x:v>70</x:v>
      </x:c>
      <x:c r="D117" s="3" t="s">
        <x:v>939</x:v>
      </x:c>
      <x:c r="E117" s="3" t="str">
        <x:f>='Reviewer_1'!N118</x:f>
        <x:v>Exclude</x:v>
      </x:c>
      <x:c r="F117" s="3" t="n">
        <x:f>='Reviewer_2'!N118</x:f>
        <x:v>0</x:v>
      </x:c>
      <x:c r="G117" s="3" t="str">
        <x:f>=IF(OR(E117="",F117=""),"Pending",IF(E117=F117,"Agree","Disagree"))</x:f>
        <x:v>Pending</x:v>
      </x:c>
      <x:c r="H117" s="3" t="str">
        <x:f>=IF(G117="Disagree","Conflict",IF(G117="Agree","No conflict","Pending"))</x:f>
        <x:v>Pending</x:v>
      </x:c>
      <x:c r="I117" s="3"/>
      <x:c r="J117" s="3"/>
      <x:c r="K117" s="3" t="s">
        <x:v>1512</x:v>
      </x:c>
      <x:c r="L117" s="3"/>
      <x:c r="M117" s="3"/>
    </x:row>
    <x:row r="118">
      <x:c r="A118" s="3" t="s">
        <x:v>943</x:v>
      </x:c>
      <x:c r="B118" s="3" t="s">
        <x:v>944</x:v>
      </x:c>
      <x:c r="C118" s="3" t="s">
        <x:v>70</x:v>
      </x:c>
      <x:c r="D118" s="3" t="s">
        <x:v>916</x:v>
      </x:c>
      <x:c r="E118" s="3" t="str">
        <x:f>='Reviewer_1'!N119</x:f>
        <x:v>Exclude</x:v>
      </x:c>
      <x:c r="F118" s="3" t="n">
        <x:f>='Reviewer_2'!N119</x:f>
        <x:v>0</x:v>
      </x:c>
      <x:c r="G118" s="3" t="str">
        <x:f>=IF(OR(E118="",F118=""),"Pending",IF(E118=F118,"Agree","Disagree"))</x:f>
        <x:v>Pending</x:v>
      </x:c>
      <x:c r="H118" s="3" t="str">
        <x:f>=IF(G118="Disagree","Conflict",IF(G118="Agree","No conflict","Pending"))</x:f>
        <x:v>Pending</x:v>
      </x:c>
      <x:c r="I118" s="3"/>
      <x:c r="J118" s="3"/>
      <x:c r="K118" s="3" t="s">
        <x:v>1512</x:v>
      </x:c>
      <x:c r="L118" s="3"/>
      <x:c r="M118" s="3"/>
    </x:row>
    <x:row r="119">
      <x:c r="A119" s="3" t="s">
        <x:v>950</x:v>
      </x:c>
      <x:c r="B119" s="3" t="s">
        <x:v>951</x:v>
      </x:c>
      <x:c r="C119" s="3" t="s">
        <x:v>70</x:v>
      </x:c>
      <x:c r="D119" s="3" t="s">
        <x:v>954</x:v>
      </x:c>
      <x:c r="E119" s="3" t="str">
        <x:f>='Reviewer_1'!N120</x:f>
        <x:v>Unclear</x:v>
      </x:c>
      <x:c r="F119" s="3" t="n">
        <x:f>='Reviewer_2'!N120</x:f>
        <x:v>0</x:v>
      </x:c>
      <x:c r="G119" s="3" t="str">
        <x:f>=IF(OR(E119="",F119=""),"Pending",IF(E119=F119,"Agree","Disagree"))</x:f>
        <x:v>Pending</x:v>
      </x:c>
      <x:c r="H119" s="3" t="str">
        <x:f>=IF(G119="Disagree","Conflict",IF(G119="Agree","No conflict","Pending"))</x:f>
        <x:v>Pending</x:v>
      </x:c>
      <x:c r="I119" s="3"/>
      <x:c r="J119" s="3"/>
      <x:c r="K119" s="3" t="s">
        <x:v>1512</x:v>
      </x:c>
      <x:c r="L119" s="3"/>
      <x:c r="M119" s="3"/>
    </x:row>
    <x:row r="120">
      <x:c r="A120" s="3" t="s">
        <x:v>958</x:v>
      </x:c>
      <x:c r="B120" s="3" t="s">
        <x:v>959</x:v>
      </x:c>
      <x:c r="C120" s="3" t="s">
        <x:v>70</x:v>
      </x:c>
      <x:c r="D120" s="3" t="s">
        <x:v>962</x:v>
      </x:c>
      <x:c r="E120" s="3" t="str">
        <x:f>='Reviewer_1'!N121</x:f>
        <x:v>Exclude</x:v>
      </x:c>
      <x:c r="F120" s="3" t="n">
        <x:f>='Reviewer_2'!N121</x:f>
        <x:v>0</x:v>
      </x:c>
      <x:c r="G120" s="3" t="str">
        <x:f>=IF(OR(E120="",F120=""),"Pending",IF(E120=F120,"Agree","Disagree"))</x:f>
        <x:v>Pending</x:v>
      </x:c>
      <x:c r="H120" s="3" t="str">
        <x:f>=IF(G120="Disagree","Conflict",IF(G120="Agree","No conflict","Pending"))</x:f>
        <x:v>Pending</x:v>
      </x:c>
      <x:c r="I120" s="3"/>
      <x:c r="J120" s="3"/>
      <x:c r="K120" s="3" t="s">
        <x:v>1512</x:v>
      </x:c>
      <x:c r="L120" s="3"/>
      <x:c r="M120" s="3"/>
    </x:row>
    <x:row r="121">
      <x:c r="A121" s="3" t="s">
        <x:v>966</x:v>
      </x:c>
      <x:c r="B121" s="3" t="s">
        <x:v>967</x:v>
      </x:c>
      <x:c r="C121" s="3" t="s">
        <x:v>70</x:v>
      </x:c>
      <x:c r="D121" s="3" t="s">
        <x:v>970</x:v>
      </x:c>
      <x:c r="E121" s="3" t="str">
        <x:f>='Reviewer_1'!N122</x:f>
        <x:v>Unclear</x:v>
      </x:c>
      <x:c r="F121" s="3" t="n">
        <x:f>='Reviewer_2'!N122</x:f>
        <x:v>0</x:v>
      </x:c>
      <x:c r="G121" s="3" t="str">
        <x:f>=IF(OR(E121="",F121=""),"Pending",IF(E121=F121,"Agree","Disagree"))</x:f>
        <x:v>Pending</x:v>
      </x:c>
      <x:c r="H121" s="3" t="str">
        <x:f>=IF(G121="Disagree","Conflict",IF(G121="Agree","No conflict","Pending"))</x:f>
        <x:v>Pending</x:v>
      </x:c>
      <x:c r="I121" s="3"/>
      <x:c r="J121" s="3"/>
      <x:c r="K121" s="3" t="s">
        <x:v>1512</x:v>
      </x:c>
      <x:c r="L121" s="3"/>
      <x:c r="M121" s="3"/>
    </x:row>
    <x:row r="122">
      <x:c r="A122" s="3" t="s">
        <x:v>974</x:v>
      </x:c>
      <x:c r="B122" s="3" t="s">
        <x:v>975</x:v>
      </x:c>
      <x:c r="C122" s="3" t="s">
        <x:v>70</x:v>
      </x:c>
      <x:c r="D122" s="3" t="s">
        <x:v>978</x:v>
      </x:c>
      <x:c r="E122" s="3" t="str">
        <x:f>='Reviewer_1'!N123</x:f>
        <x:v>Exclude</x:v>
      </x:c>
      <x:c r="F122" s="3" t="n">
        <x:f>='Reviewer_2'!N123</x:f>
        <x:v>0</x:v>
      </x:c>
      <x:c r="G122" s="3" t="str">
        <x:f>=IF(OR(E122="",F122=""),"Pending",IF(E122=F122,"Agree","Disagree"))</x:f>
        <x:v>Pending</x:v>
      </x:c>
      <x:c r="H122" s="3" t="str">
        <x:f>=IF(G122="Disagree","Conflict",IF(G122="Agree","No conflict","Pending"))</x:f>
        <x:v>Pending</x:v>
      </x:c>
      <x:c r="I122" s="3"/>
      <x:c r="J122" s="3"/>
      <x:c r="K122" s="3" t="s">
        <x:v>1512</x:v>
      </x:c>
      <x:c r="L122" s="3"/>
      <x:c r="M122" s="3"/>
    </x:row>
    <x:row r="123">
      <x:c r="A123" s="3" t="s">
        <x:v>983</x:v>
      </x:c>
      <x:c r="B123" s="3" t="s">
        <x:v>984</x:v>
      </x:c>
      <x:c r="C123" s="3" t="s">
        <x:v>58</x:v>
      </x:c>
      <x:c r="D123" s="3" t="s">
        <x:v>987</x:v>
      </x:c>
      <x:c r="E123" s="3" t="str">
        <x:f>='Reviewer_1'!N124</x:f>
        <x:v>Include</x:v>
      </x:c>
      <x:c r="F123" s="3" t="n">
        <x:f>='Reviewer_2'!N124</x:f>
        <x:v>0</x:v>
      </x:c>
      <x:c r="G123" s="3" t="str">
        <x:f>=IF(OR(E123="",F123=""),"Pending",IF(E123=F123,"Agree","Disagree"))</x:f>
        <x:v>Pending</x:v>
      </x:c>
      <x:c r="H123" s="3" t="str">
        <x:f>=IF(G123="Disagree","Conflict",IF(G123="Agree","No conflict","Pending"))</x:f>
        <x:v>Pending</x:v>
      </x:c>
      <x:c r="I123" s="3"/>
      <x:c r="J123" s="3"/>
      <x:c r="K123" s="3" t="s">
        <x:v>1512</x:v>
      </x:c>
      <x:c r="L123" s="3"/>
      <x:c r="M123" s="3"/>
    </x:row>
    <x:row r="124">
      <x:c r="A124" s="3" t="s">
        <x:v>991</x:v>
      </x:c>
      <x:c r="B124" s="3" t="s">
        <x:v>992</x:v>
      </x:c>
      <x:c r="C124" s="3" t="s">
        <x:v>70</x:v>
      </x:c>
      <x:c r="D124" s="3" t="s">
        <x:v>827</x:v>
      </x:c>
      <x:c r="E124" s="3" t="str">
        <x:f>='Reviewer_1'!N125</x:f>
        <x:v>Include</x:v>
      </x:c>
      <x:c r="F124" s="3" t="n">
        <x:f>='Reviewer_2'!N125</x:f>
        <x:v>0</x:v>
      </x:c>
      <x:c r="G124" s="3" t="str">
        <x:f>=IF(OR(E124="",F124=""),"Pending",IF(E124=F124,"Agree","Disagree"))</x:f>
        <x:v>Pending</x:v>
      </x:c>
      <x:c r="H124" s="3" t="str">
        <x:f>=IF(G124="Disagree","Conflict",IF(G124="Agree","No conflict","Pending"))</x:f>
        <x:v>Pending</x:v>
      </x:c>
      <x:c r="I124" s="3"/>
      <x:c r="J124" s="3"/>
      <x:c r="K124" s="3" t="s">
        <x:v>1512</x:v>
      </x:c>
      <x:c r="L124" s="3"/>
      <x:c r="M124" s="3"/>
    </x:row>
    <x:row r="125">
      <x:c r="A125" s="3" t="s">
        <x:v>998</x:v>
      </x:c>
      <x:c r="B125" s="3" t="s">
        <x:v>999</x:v>
      </x:c>
      <x:c r="C125" s="3" t="s">
        <x:v>70</x:v>
      </x:c>
      <x:c r="D125" s="3" t="s">
        <x:v>1002</x:v>
      </x:c>
      <x:c r="E125" s="3" t="str">
        <x:f>='Reviewer_1'!N126</x:f>
        <x:v>Exclude</x:v>
      </x:c>
      <x:c r="F125" s="3" t="n">
        <x:f>='Reviewer_2'!N126</x:f>
        <x:v>0</x:v>
      </x:c>
      <x:c r="G125" s="3" t="str">
        <x:f>=IF(OR(E125="",F125=""),"Pending",IF(E125=F125,"Agree","Disagree"))</x:f>
        <x:v>Pending</x:v>
      </x:c>
      <x:c r="H125" s="3" t="str">
        <x:f>=IF(G125="Disagree","Conflict",IF(G125="Agree","No conflict","Pending"))</x:f>
        <x:v>Pending</x:v>
      </x:c>
      <x:c r="I125" s="3"/>
      <x:c r="J125" s="3"/>
      <x:c r="K125" s="3" t="s">
        <x:v>1512</x:v>
      </x:c>
      <x:c r="L125" s="3"/>
      <x:c r="M125" s="3"/>
    </x:row>
    <x:row r="126">
      <x:c r="A126" s="3" t="s">
        <x:v>1006</x:v>
      </x:c>
      <x:c r="B126" s="3" t="s">
        <x:v>1007</x:v>
      </x:c>
      <x:c r="C126" s="3" t="s">
        <x:v>70</x:v>
      </x:c>
      <x:c r="D126" s="3" t="s">
        <x:v>1010</x:v>
      </x:c>
      <x:c r="E126" s="3" t="str">
        <x:f>='Reviewer_1'!N127</x:f>
        <x:v>Exclude</x:v>
      </x:c>
      <x:c r="F126" s="3" t="n">
        <x:f>='Reviewer_2'!N127</x:f>
        <x:v>0</x:v>
      </x:c>
      <x:c r="G126" s="3" t="str">
        <x:f>=IF(OR(E126="",F126=""),"Pending",IF(E126=F126,"Agree","Disagree"))</x:f>
        <x:v>Pending</x:v>
      </x:c>
      <x:c r="H126" s="3" t="str">
        <x:f>=IF(G126="Disagree","Conflict",IF(G126="Agree","No conflict","Pending"))</x:f>
        <x:v>Pending</x:v>
      </x:c>
      <x:c r="I126" s="3"/>
      <x:c r="J126" s="3"/>
      <x:c r="K126" s="3" t="s">
        <x:v>1512</x:v>
      </x:c>
      <x:c r="L126" s="3"/>
      <x:c r="M126" s="3"/>
    </x:row>
    <x:row r="127">
      <x:c r="A127" s="3" t="s">
        <x:v>1014</x:v>
      </x:c>
      <x:c r="B127" s="3" t="s">
        <x:v>1015</x:v>
      </x:c>
      <x:c r="C127" s="3" t="s">
        <x:v>70</x:v>
      </x:c>
      <x:c r="D127" s="3" t="s">
        <x:v>1018</x:v>
      </x:c>
      <x:c r="E127" s="3" t="str">
        <x:f>='Reviewer_1'!N128</x:f>
        <x:v>Unclear</x:v>
      </x:c>
      <x:c r="F127" s="3" t="n">
        <x:f>='Reviewer_2'!N128</x:f>
        <x:v>0</x:v>
      </x:c>
      <x:c r="G127" s="3" t="str">
        <x:f>=IF(OR(E127="",F127=""),"Pending",IF(E127=F127,"Agree","Disagree"))</x:f>
        <x:v>Pending</x:v>
      </x:c>
      <x:c r="H127" s="3" t="str">
        <x:f>=IF(G127="Disagree","Conflict",IF(G127="Agree","No conflict","Pending"))</x:f>
        <x:v>Pending</x:v>
      </x:c>
      <x:c r="I127" s="3"/>
      <x:c r="J127" s="3"/>
      <x:c r="K127" s="3" t="s">
        <x:v>1512</x:v>
      </x:c>
      <x:c r="L127" s="3"/>
      <x:c r="M127" s="3"/>
    </x:row>
    <x:row r="128">
      <x:c r="A128" s="3" t="s">
        <x:v>1022</x:v>
      </x:c>
      <x:c r="B128" s="3" t="s">
        <x:v>1023</x:v>
      </x:c>
      <x:c r="C128" s="3" t="s">
        <x:v>70</x:v>
      </x:c>
      <x:c r="D128" s="3" t="s">
        <x:v>1026</x:v>
      </x:c>
      <x:c r="E128" s="3" t="str">
        <x:f>='Reviewer_1'!N129</x:f>
        <x:v>Exclude</x:v>
      </x:c>
      <x:c r="F128" s="3" t="n">
        <x:f>='Reviewer_2'!N129</x:f>
        <x:v>0</x:v>
      </x:c>
      <x:c r="G128" s="3" t="str">
        <x:f>=IF(OR(E128="",F128=""),"Pending",IF(E128=F128,"Agree","Disagree"))</x:f>
        <x:v>Pending</x:v>
      </x:c>
      <x:c r="H128" s="3" t="str">
        <x:f>=IF(G128="Disagree","Conflict",IF(G128="Agree","No conflict","Pending"))</x:f>
        <x:v>Pending</x:v>
      </x:c>
      <x:c r="I128" s="3"/>
      <x:c r="J128" s="3"/>
      <x:c r="K128" s="3" t="s">
        <x:v>1512</x:v>
      </x:c>
      <x:c r="L128" s="3"/>
      <x:c r="M128" s="3"/>
    </x:row>
    <x:row r="129">
      <x:c r="A129" s="3" t="s">
        <x:v>1030</x:v>
      </x:c>
      <x:c r="B129" s="3" t="s">
        <x:v>1031</x:v>
      </x:c>
      <x:c r="C129" s="3" t="s">
        <x:v>70</x:v>
      </x:c>
      <x:c r="D129" s="3" t="s">
        <x:v>1034</x:v>
      </x:c>
      <x:c r="E129" s="3" t="str">
        <x:f>='Reviewer_1'!N130</x:f>
        <x:v>Include</x:v>
      </x:c>
      <x:c r="F129" s="3" t="n">
        <x:f>='Reviewer_2'!N130</x:f>
        <x:v>0</x:v>
      </x:c>
      <x:c r="G129" s="3" t="str">
        <x:f>=IF(OR(E129="",F129=""),"Pending",IF(E129=F129,"Agree","Disagree"))</x:f>
        <x:v>Pending</x:v>
      </x:c>
      <x:c r="H129" s="3" t="str">
        <x:f>=IF(G129="Disagree","Conflict",IF(G129="Agree","No conflict","Pending"))</x:f>
        <x:v>Pending</x:v>
      </x:c>
      <x:c r="I129" s="3"/>
      <x:c r="J129" s="3"/>
      <x:c r="K129" s="3" t="s">
        <x:v>1512</x:v>
      </x:c>
      <x:c r="L129" s="3"/>
      <x:c r="M129" s="3"/>
    </x:row>
    <x:row r="130">
      <x:c r="A130" s="3" t="s">
        <x:v>1038</x:v>
      </x:c>
      <x:c r="B130" s="3" t="s">
        <x:v>1039</x:v>
      </x:c>
      <x:c r="C130" s="3" t="s">
        <x:v>70</x:v>
      </x:c>
      <x:c r="D130" s="3" t="s">
        <x:v>1042</x:v>
      </x:c>
      <x:c r="E130" s="3" t="str">
        <x:f>='Reviewer_1'!N131</x:f>
        <x:v>Exclude</x:v>
      </x:c>
      <x:c r="F130" s="3" t="n">
        <x:f>='Reviewer_2'!N131</x:f>
        <x:v>0</x:v>
      </x:c>
      <x:c r="G130" s="3" t="str">
        <x:f>=IF(OR(E130="",F130=""),"Pending",IF(E130=F130,"Agree","Disagree"))</x:f>
        <x:v>Pending</x:v>
      </x:c>
      <x:c r="H130" s="3" t="str">
        <x:f>=IF(G130="Disagree","Conflict",IF(G130="Agree","No conflict","Pending"))</x:f>
        <x:v>Pending</x:v>
      </x:c>
      <x:c r="I130" s="3"/>
      <x:c r="J130" s="3"/>
      <x:c r="K130" s="3" t="s">
        <x:v>1512</x:v>
      </x:c>
      <x:c r="L130" s="3"/>
      <x:c r="M130" s="3"/>
    </x:row>
    <x:row r="131">
      <x:c r="A131" s="3" t="s">
        <x:v>1046</x:v>
      </x:c>
      <x:c r="B131" s="3" t="s">
        <x:v>1047</x:v>
      </x:c>
      <x:c r="C131" s="3" t="s">
        <x:v>182</x:v>
      </x:c>
      <x:c r="D131" s="3" t="s">
        <x:v>1050</x:v>
      </x:c>
      <x:c r="E131" s="3" t="str">
        <x:f>='Reviewer_1'!N132</x:f>
        <x:v>Exclude</x:v>
      </x:c>
      <x:c r="F131" s="3" t="n">
        <x:f>='Reviewer_2'!N132</x:f>
        <x:v>0</x:v>
      </x:c>
      <x:c r="G131" s="3" t="str">
        <x:f>=IF(OR(E131="",F131=""),"Pending",IF(E131=F131,"Agree","Disagree"))</x:f>
        <x:v>Pending</x:v>
      </x:c>
      <x:c r="H131" s="3" t="str">
        <x:f>=IF(G131="Disagree","Conflict",IF(G131="Agree","No conflict","Pending"))</x:f>
        <x:v>Pending</x:v>
      </x:c>
      <x:c r="I131" s="3"/>
      <x:c r="J131" s="3"/>
      <x:c r="K131" s="3" t="s">
        <x:v>1512</x:v>
      </x:c>
      <x:c r="L131" s="3"/>
      <x:c r="M131" s="3"/>
    </x:row>
    <x:row r="132">
      <x:c r="A132" s="3" t="s">
        <x:v>1056</x:v>
      </x:c>
      <x:c r="B132" s="3" t="s">
        <x:v>1057</x:v>
      </x:c>
      <x:c r="C132" s="3" t="s">
        <x:v>182</x:v>
      </x:c>
      <x:c r="D132" s="3" t="s">
        <x:v>978</x:v>
      </x:c>
      <x:c r="E132" s="3" t="str">
        <x:f>='Reviewer_1'!N133</x:f>
        <x:v>Exclude</x:v>
      </x:c>
      <x:c r="F132" s="3" t="n">
        <x:f>='Reviewer_2'!N133</x:f>
        <x:v>0</x:v>
      </x:c>
      <x:c r="G132" s="3" t="str">
        <x:f>=IF(OR(E132="",F132=""),"Pending",IF(E132=F132,"Agree","Disagree"))</x:f>
        <x:v>Pending</x:v>
      </x:c>
      <x:c r="H132" s="3" t="str">
        <x:f>=IF(G132="Disagree","Conflict",IF(G132="Agree","No conflict","Pending"))</x:f>
        <x:v>Pending</x:v>
      </x:c>
      <x:c r="I132" s="3"/>
      <x:c r="J132" s="3"/>
      <x:c r="K132" s="3" t="s">
        <x:v>1512</x:v>
      </x:c>
      <x:c r="L132" s="3"/>
      <x:c r="M132" s="3"/>
    </x:row>
    <x:row r="133">
      <x:c r="A133" s="3" t="s">
        <x:v>1064</x:v>
      </x:c>
      <x:c r="B133" s="3" t="s">
        <x:v>1065</x:v>
      </x:c>
      <x:c r="C133" s="3" t="s">
        <x:v>70</x:v>
      </x:c>
      <x:c r="D133" s="3" t="s">
        <x:v>59</x:v>
      </x:c>
      <x:c r="E133" s="3" t="str">
        <x:f>='Reviewer_1'!N134</x:f>
        <x:v>Exclude</x:v>
      </x:c>
      <x:c r="F133" s="3" t="n">
        <x:f>='Reviewer_2'!N134</x:f>
        <x:v>0</x:v>
      </x:c>
      <x:c r="G133" s="3" t="str">
        <x:f>=IF(OR(E133="",F133=""),"Pending",IF(E133=F133,"Agree","Disagree"))</x:f>
        <x:v>Pending</x:v>
      </x:c>
      <x:c r="H133" s="3" t="str">
        <x:f>=IF(G133="Disagree","Conflict",IF(G133="Agree","No conflict","Pending"))</x:f>
        <x:v>Pending</x:v>
      </x:c>
      <x:c r="I133" s="3"/>
      <x:c r="J133" s="3"/>
      <x:c r="K133" s="3" t="s">
        <x:v>1512</x:v>
      </x:c>
      <x:c r="L133" s="3"/>
      <x:c r="M133" s="3"/>
    </x:row>
    <x:row r="134">
      <x:c r="A134" s="3" t="s">
        <x:v>1071</x:v>
      </x:c>
      <x:c r="B134" s="3" t="s">
        <x:v>1072</x:v>
      </x:c>
      <x:c r="C134" s="3" t="s">
        <x:v>182</x:v>
      </x:c>
      <x:c r="D134" s="3" t="s">
        <x:v>1075</x:v>
      </x:c>
      <x:c r="E134" s="3" t="str">
        <x:f>='Reviewer_1'!N135</x:f>
        <x:v>Exclude</x:v>
      </x:c>
      <x:c r="F134" s="3" t="n">
        <x:f>='Reviewer_2'!N135</x:f>
        <x:v>0</x:v>
      </x:c>
      <x:c r="G134" s="3" t="str">
        <x:f>=IF(OR(E134="",F134=""),"Pending",IF(E134=F134,"Agree","Disagree"))</x:f>
        <x:v>Pending</x:v>
      </x:c>
      <x:c r="H134" s="3" t="str">
        <x:f>=IF(G134="Disagree","Conflict",IF(G134="Agree","No conflict","Pending"))</x:f>
        <x:v>Pending</x:v>
      </x:c>
      <x:c r="I134" s="3"/>
      <x:c r="J134" s="3"/>
      <x:c r="K134" s="3" t="s">
        <x:v>1512</x:v>
      </x:c>
      <x:c r="L134" s="3"/>
      <x:c r="M134" s="3"/>
    </x:row>
    <x:row r="135">
      <x:c r="A135" s="3" t="s">
        <x:v>1079</x:v>
      </x:c>
      <x:c r="B135" s="3" t="s">
        <x:v>1080</x:v>
      </x:c>
      <x:c r="C135" s="3" t="s">
        <x:v>70</x:v>
      </x:c>
      <x:c r="D135" s="3" t="s">
        <x:v>1083</x:v>
      </x:c>
      <x:c r="E135" s="3" t="str">
        <x:f>='Reviewer_1'!N136</x:f>
        <x:v>Include</x:v>
      </x:c>
      <x:c r="F135" s="3" t="n">
        <x:f>='Reviewer_2'!N136</x:f>
        <x:v>0</x:v>
      </x:c>
      <x:c r="G135" s="3" t="str">
        <x:f>=IF(OR(E135="",F135=""),"Pending",IF(E135=F135,"Agree","Disagree"))</x:f>
        <x:v>Pending</x:v>
      </x:c>
      <x:c r="H135" s="3" t="str">
        <x:f>=IF(G135="Disagree","Conflict",IF(G135="Agree","No conflict","Pending"))</x:f>
        <x:v>Pending</x:v>
      </x:c>
      <x:c r="I135" s="3"/>
      <x:c r="J135" s="3"/>
      <x:c r="K135" s="3" t="s">
        <x:v>1512</x:v>
      </x:c>
      <x:c r="L135" s="3"/>
      <x:c r="M135" s="3"/>
    </x:row>
    <x:row r="136">
      <x:c r="A136" s="3" t="s">
        <x:v>1087</x:v>
      </x:c>
      <x:c r="B136" s="3" t="s">
        <x:v>1088</x:v>
      </x:c>
      <x:c r="C136" s="3" t="s">
        <x:v>182</x:v>
      </x:c>
      <x:c r="D136" s="3" t="s">
        <x:v>1090</x:v>
      </x:c>
      <x:c r="E136" s="3" t="str">
        <x:f>='Reviewer_1'!N137</x:f>
        <x:v>Exclude</x:v>
      </x:c>
      <x:c r="F136" s="3" t="n">
        <x:f>='Reviewer_2'!N137</x:f>
        <x:v>0</x:v>
      </x:c>
      <x:c r="G136" s="3" t="str">
        <x:f>=IF(OR(E136="",F136=""),"Pending",IF(E136=F136,"Agree","Disagree"))</x:f>
        <x:v>Pending</x:v>
      </x:c>
      <x:c r="H136" s="3" t="str">
        <x:f>=IF(G136="Disagree","Conflict",IF(G136="Agree","No conflict","Pending"))</x:f>
        <x:v>Pending</x:v>
      </x:c>
      <x:c r="I136" s="3"/>
      <x:c r="J136" s="3"/>
      <x:c r="K136" s="3" t="s">
        <x:v>1512</x:v>
      </x:c>
      <x:c r="L136" s="3"/>
      <x:c r="M136" s="3"/>
    </x:row>
    <x:row r="137">
      <x:c r="A137" s="3" t="s">
        <x:v>1095</x:v>
      </x:c>
      <x:c r="B137" s="3" t="s">
        <x:v>1096</x:v>
      </x:c>
      <x:c r="C137" s="3" t="s">
        <x:v>182</x:v>
      </x:c>
      <x:c r="D137" s="3" t="s">
        <x:v>1098</x:v>
      </x:c>
      <x:c r="E137" s="3" t="str">
        <x:f>='Reviewer_1'!N138</x:f>
        <x:v>Exclude</x:v>
      </x:c>
      <x:c r="F137" s="3" t="n">
        <x:f>='Reviewer_2'!N138</x:f>
        <x:v>0</x:v>
      </x:c>
      <x:c r="G137" s="3" t="str">
        <x:f>=IF(OR(E137="",F137=""),"Pending",IF(E137=F137,"Agree","Disagree"))</x:f>
        <x:v>Pending</x:v>
      </x:c>
      <x:c r="H137" s="3" t="str">
        <x:f>=IF(G137="Disagree","Conflict",IF(G137="Agree","No conflict","Pending"))</x:f>
        <x:v>Pending</x:v>
      </x:c>
      <x:c r="I137" s="3"/>
      <x:c r="J137" s="3"/>
      <x:c r="K137" s="3" t="s">
        <x:v>1512</x:v>
      </x:c>
      <x:c r="L137" s="3"/>
      <x:c r="M137" s="3"/>
    </x:row>
    <x:row r="138">
      <x:c r="A138" s="3" t="s">
        <x:v>1102</x:v>
      </x:c>
      <x:c r="B138" s="3" t="s">
        <x:v>1103</x:v>
      </x:c>
      <x:c r="C138" s="3" t="s">
        <x:v>70</x:v>
      </x:c>
      <x:c r="D138" s="3" t="s">
        <x:v>1106</x:v>
      </x:c>
      <x:c r="E138" s="3" t="str">
        <x:f>='Reviewer_1'!N139</x:f>
        <x:v>Exclude</x:v>
      </x:c>
      <x:c r="F138" s="3" t="n">
        <x:f>='Reviewer_2'!N139</x:f>
        <x:v>0</x:v>
      </x:c>
      <x:c r="G138" s="3" t="str">
        <x:f>=IF(OR(E138="",F138=""),"Pending",IF(E138=F138,"Agree","Disagree"))</x:f>
        <x:v>Pending</x:v>
      </x:c>
      <x:c r="H138" s="3" t="str">
        <x:f>=IF(G138="Disagree","Conflict",IF(G138="Agree","No conflict","Pending"))</x:f>
        <x:v>Pending</x:v>
      </x:c>
      <x:c r="I138" s="3"/>
      <x:c r="J138" s="3"/>
      <x:c r="K138" s="3" t="s">
        <x:v>1512</x:v>
      </x:c>
      <x:c r="L138" s="3"/>
      <x:c r="M138" s="3"/>
    </x:row>
    <x:row r="139">
      <x:c r="A139" s="3" t="s">
        <x:v>1110</x:v>
      </x:c>
      <x:c r="B139" s="3" t="s">
        <x:v>1111</x:v>
      </x:c>
      <x:c r="C139" s="3" t="s">
        <x:v>70</x:v>
      </x:c>
      <x:c r="D139" s="3" t="s">
        <x:v>1114</x:v>
      </x:c>
      <x:c r="E139" s="3" t="str">
        <x:f>='Reviewer_1'!N140</x:f>
        <x:v>Include</x:v>
      </x:c>
      <x:c r="F139" s="3" t="n">
        <x:f>='Reviewer_2'!N140</x:f>
        <x:v>0</x:v>
      </x:c>
      <x:c r="G139" s="3" t="str">
        <x:f>=IF(OR(E139="",F139=""),"Pending",IF(E139=F139,"Agree","Disagree"))</x:f>
        <x:v>Pending</x:v>
      </x:c>
      <x:c r="H139" s="3" t="str">
        <x:f>=IF(G139="Disagree","Conflict",IF(G139="Agree","No conflict","Pending"))</x:f>
        <x:v>Pending</x:v>
      </x:c>
      <x:c r="I139" s="3"/>
      <x:c r="J139" s="3"/>
      <x:c r="K139" s="3" t="s">
        <x:v>1512</x:v>
      </x:c>
      <x:c r="L139" s="3"/>
      <x:c r="M139" s="3"/>
    </x:row>
    <x:row r="140">
      <x:c r="A140" s="3" t="s">
        <x:v>1118</x:v>
      </x:c>
      <x:c r="B140" s="3" t="s">
        <x:v>1119</x:v>
      </x:c>
      <x:c r="C140" s="3" t="s">
        <x:v>182</x:v>
      </x:c>
      <x:c r="D140" s="3" t="s">
        <x:v>978</x:v>
      </x:c>
      <x:c r="E140" s="3" t="str">
        <x:f>='Reviewer_1'!N141</x:f>
        <x:v>Exclude</x:v>
      </x:c>
      <x:c r="F140" s="3" t="n">
        <x:f>='Reviewer_2'!N141</x:f>
        <x:v>0</x:v>
      </x:c>
      <x:c r="G140" s="3" t="str">
        <x:f>=IF(OR(E140="",F140=""),"Pending",IF(E140=F140,"Agree","Disagree"))</x:f>
        <x:v>Pending</x:v>
      </x:c>
      <x:c r="H140" s="3" t="str">
        <x:f>=IF(G140="Disagree","Conflict",IF(G140="Agree","No conflict","Pending"))</x:f>
        <x:v>Pending</x:v>
      </x:c>
      <x:c r="I140" s="3"/>
      <x:c r="J140" s="3"/>
      <x:c r="K140" s="3" t="s">
        <x:v>1512</x:v>
      </x:c>
      <x:c r="L140" s="3"/>
      <x:c r="M140" s="3"/>
    </x:row>
    <x:row r="141">
      <x:c r="A141" s="3" t="s">
        <x:v>1125</x:v>
      </x:c>
      <x:c r="B141" s="3" t="s">
        <x:v>1126</x:v>
      </x:c>
      <x:c r="C141" s="3" t="s">
        <x:v>182</x:v>
      </x:c>
      <x:c r="D141" s="3" t="s">
        <x:v>1129</x:v>
      </x:c>
      <x:c r="E141" s="3" t="str">
        <x:f>='Reviewer_1'!N142</x:f>
        <x:v>Exclude</x:v>
      </x:c>
      <x:c r="F141" s="3" t="n">
        <x:f>='Reviewer_2'!N142</x:f>
        <x:v>0</x:v>
      </x:c>
      <x:c r="G141" s="3" t="str">
        <x:f>=IF(OR(E141="",F141=""),"Pending",IF(E141=F141,"Agree","Disagree"))</x:f>
        <x:v>Pending</x:v>
      </x:c>
      <x:c r="H141" s="3" t="str">
        <x:f>=IF(G141="Disagree","Conflict",IF(G141="Agree","No conflict","Pending"))</x:f>
        <x:v>Pending</x:v>
      </x:c>
      <x:c r="I141" s="3"/>
      <x:c r="J141" s="3"/>
      <x:c r="K141" s="3" t="s">
        <x:v>1512</x:v>
      </x:c>
      <x:c r="L141" s="3"/>
      <x:c r="M141" s="3"/>
    </x:row>
    <x:row r="142">
      <x:c r="A142" s="3" t="s">
        <x:v>1134</x:v>
      </x:c>
      <x:c r="B142" s="3" t="s">
        <x:v>1135</x:v>
      </x:c>
      <x:c r="C142" s="3" t="s">
        <x:v>182</x:v>
      </x:c>
      <x:c r="D142" s="3" t="s">
        <x:v>1138</x:v>
      </x:c>
      <x:c r="E142" s="3" t="str">
        <x:f>='Reviewer_1'!N143</x:f>
        <x:v>Exclude</x:v>
      </x:c>
      <x:c r="F142" s="3" t="n">
        <x:f>='Reviewer_2'!N143</x:f>
        <x:v>0</x:v>
      </x:c>
      <x:c r="G142" s="3" t="str">
        <x:f>=IF(OR(E142="",F142=""),"Pending",IF(E142=F142,"Agree","Disagree"))</x:f>
        <x:v>Pending</x:v>
      </x:c>
      <x:c r="H142" s="3" t="str">
        <x:f>=IF(G142="Disagree","Conflict",IF(G142="Agree","No conflict","Pending"))</x:f>
        <x:v>Pending</x:v>
      </x:c>
      <x:c r="I142" s="3"/>
      <x:c r="J142" s="3"/>
      <x:c r="K142" s="3" t="s">
        <x:v>1512</x:v>
      </x:c>
      <x:c r="L142" s="3"/>
      <x:c r="M142" s="3"/>
    </x:row>
    <x:row r="143">
      <x:c r="A143" s="3" t="s">
        <x:v>1142</x:v>
      </x:c>
      <x:c r="B143" s="3" t="s">
        <x:v>1143</x:v>
      </x:c>
      <x:c r="C143" s="3" t="s">
        <x:v>182</x:v>
      </x:c>
      <x:c r="D143" s="3" t="s">
        <x:v>1146</x:v>
      </x:c>
      <x:c r="E143" s="3" t="str">
        <x:f>='Reviewer_1'!N144</x:f>
        <x:v>Exclude</x:v>
      </x:c>
      <x:c r="F143" s="3" t="n">
        <x:f>='Reviewer_2'!N144</x:f>
        <x:v>0</x:v>
      </x:c>
      <x:c r="G143" s="3" t="str">
        <x:f>=IF(OR(E143="",F143=""),"Pending",IF(E143=F143,"Agree","Disagree"))</x:f>
        <x:v>Pending</x:v>
      </x:c>
      <x:c r="H143" s="3" t="str">
        <x:f>=IF(G143="Disagree","Conflict",IF(G143="Agree","No conflict","Pending"))</x:f>
        <x:v>Pending</x:v>
      </x:c>
      <x:c r="I143" s="3"/>
      <x:c r="J143" s="3"/>
      <x:c r="K143" s="3" t="s">
        <x:v>1512</x:v>
      </x:c>
      <x:c r="L143" s="3"/>
      <x:c r="M143" s="3"/>
    </x:row>
    <x:row r="144">
      <x:c r="A144" s="3" t="s">
        <x:v>1150</x:v>
      </x:c>
      <x:c r="B144" s="3" t="s">
        <x:v>1151</x:v>
      </x:c>
      <x:c r="C144" s="3" t="s">
        <x:v>182</x:v>
      </x:c>
      <x:c r="D144" s="3" t="s">
        <x:v>1153</x:v>
      </x:c>
      <x:c r="E144" s="3" t="str">
        <x:f>='Reviewer_1'!N145</x:f>
        <x:v>Exclude</x:v>
      </x:c>
      <x:c r="F144" s="3" t="n">
        <x:f>='Reviewer_2'!N145</x:f>
        <x:v>0</x:v>
      </x:c>
      <x:c r="G144" s="3" t="str">
        <x:f>=IF(OR(E144="",F144=""),"Pending",IF(E144=F144,"Agree","Disagree"))</x:f>
        <x:v>Pending</x:v>
      </x:c>
      <x:c r="H144" s="3" t="str">
        <x:f>=IF(G144="Disagree","Conflict",IF(G144="Agree","No conflict","Pending"))</x:f>
        <x:v>Pending</x:v>
      </x:c>
      <x:c r="I144" s="3"/>
      <x:c r="J144" s="3"/>
      <x:c r="K144" s="3" t="s">
        <x:v>1512</x:v>
      </x:c>
      <x:c r="L144" s="3"/>
      <x:c r="M144" s="3"/>
    </x:row>
    <x:row r="145">
      <x:c r="A145" s="3" t="s">
        <x:v>1158</x:v>
      </x:c>
      <x:c r="B145" s="3" t="s">
        <x:v>1159</x:v>
      </x:c>
      <x:c r="C145" s="3" t="s">
        <x:v>182</x:v>
      </x:c>
      <x:c r="D145" s="3" t="s">
        <x:v>1162</x:v>
      </x:c>
      <x:c r="E145" s="3" t="str">
        <x:f>='Reviewer_1'!N146</x:f>
        <x:v>Include</x:v>
      </x:c>
      <x:c r="F145" s="3" t="n">
        <x:f>='Reviewer_2'!N146</x:f>
        <x:v>0</x:v>
      </x:c>
      <x:c r="G145" s="3" t="str">
        <x:f>=IF(OR(E145="",F145=""),"Pending",IF(E145=F145,"Agree","Disagree"))</x:f>
        <x:v>Pending</x:v>
      </x:c>
      <x:c r="H145" s="3" t="str">
        <x:f>=IF(G145="Disagree","Conflict",IF(G145="Agree","No conflict","Pending"))</x:f>
        <x:v>Pending</x:v>
      </x:c>
      <x:c r="I145" s="3"/>
      <x:c r="J145" s="3"/>
      <x:c r="K145" s="3" t="s">
        <x:v>1512</x:v>
      </x:c>
      <x:c r="L145" s="3"/>
      <x:c r="M145" s="3"/>
    </x:row>
    <x:row r="146">
      <x:c r="A146" s="3" t="s">
        <x:v>1166</x:v>
      </x:c>
      <x:c r="B146" s="3" t="s">
        <x:v>1167</x:v>
      </x:c>
      <x:c r="C146" s="3" t="s">
        <x:v>92</x:v>
      </x:c>
      <x:c r="D146" s="3" t="s">
        <x:v>1170</x:v>
      </x:c>
      <x:c r="E146" s="3" t="str">
        <x:f>='Reviewer_1'!N147</x:f>
        <x:v>Include</x:v>
      </x:c>
      <x:c r="F146" s="3" t="n">
        <x:f>='Reviewer_2'!N147</x:f>
        <x:v>0</x:v>
      </x:c>
      <x:c r="G146" s="3" t="str">
        <x:f>=IF(OR(E146="",F146=""),"Pending",IF(E146=F146,"Agree","Disagree"))</x:f>
        <x:v>Pending</x:v>
      </x:c>
      <x:c r="H146" s="3" t="str">
        <x:f>=IF(G146="Disagree","Conflict",IF(G146="Agree","No conflict","Pending"))</x:f>
        <x:v>Pending</x:v>
      </x:c>
      <x:c r="I146" s="3"/>
      <x:c r="J146" s="3"/>
      <x:c r="K146" s="3" t="s">
        <x:v>1512</x:v>
      </x:c>
      <x:c r="L146" s="3"/>
      <x:c r="M146" s="3"/>
    </x:row>
    <x:row r="147">
      <x:c r="A147" s="3" t="s">
        <x:v>1174</x:v>
      </x:c>
      <x:c r="B147" s="3" t="s">
        <x:v>1175</x:v>
      </x:c>
      <x:c r="C147" s="3" t="s">
        <x:v>182</x:v>
      </x:c>
      <x:c r="D147" s="3" t="s">
        <x:v>730</x:v>
      </x:c>
      <x:c r="E147" s="3" t="str">
        <x:f>='Reviewer_1'!N148</x:f>
        <x:v>Exclude</x:v>
      </x:c>
      <x:c r="F147" s="3" t="n">
        <x:f>='Reviewer_2'!N148</x:f>
        <x:v>0</x:v>
      </x:c>
      <x:c r="G147" s="3" t="str">
        <x:f>=IF(OR(E147="",F147=""),"Pending",IF(E147=F147,"Agree","Disagree"))</x:f>
        <x:v>Pending</x:v>
      </x:c>
      <x:c r="H147" s="3" t="str">
        <x:f>=IF(G147="Disagree","Conflict",IF(G147="Agree","No conflict","Pending"))</x:f>
        <x:v>Pending</x:v>
      </x:c>
      <x:c r="I147" s="3"/>
      <x:c r="J147" s="3"/>
      <x:c r="K147" s="3" t="s">
        <x:v>1512</x:v>
      </x:c>
      <x:c r="L147" s="3"/>
      <x:c r="M147" s="3"/>
    </x:row>
    <x:row r="148">
      <x:c r="A148" s="3" t="s">
        <x:v>1181</x:v>
      </x:c>
      <x:c r="B148" s="3" t="s">
        <x:v>1182</x:v>
      </x:c>
      <x:c r="C148" s="3" t="s">
        <x:v>182</x:v>
      </x:c>
      <x:c r="D148" s="3" t="s">
        <x:v>390</x:v>
      </x:c>
      <x:c r="E148" s="3" t="str">
        <x:f>='Reviewer_1'!N149</x:f>
        <x:v>Exclude</x:v>
      </x:c>
      <x:c r="F148" s="3" t="n">
        <x:f>='Reviewer_2'!N149</x:f>
        <x:v>0</x:v>
      </x:c>
      <x:c r="G148" s="3" t="str">
        <x:f>=IF(OR(E148="",F148=""),"Pending",IF(E148=F148,"Agree","Disagree"))</x:f>
        <x:v>Pending</x:v>
      </x:c>
      <x:c r="H148" s="3" t="str">
        <x:f>=IF(G148="Disagree","Conflict",IF(G148="Agree","No conflict","Pending"))</x:f>
        <x:v>Pending</x:v>
      </x:c>
      <x:c r="I148" s="3"/>
      <x:c r="J148" s="3"/>
      <x:c r="K148" s="3" t="s">
        <x:v>1512</x:v>
      </x:c>
      <x:c r="L148" s="3"/>
      <x:c r="M148" s="3"/>
    </x:row>
    <x:row r="149">
      <x:c r="A149" s="3" t="s">
        <x:v>1189</x:v>
      </x:c>
      <x:c r="B149" s="3" t="s">
        <x:v>1190</x:v>
      </x:c>
      <x:c r="C149" s="3" t="s">
        <x:v>70</x:v>
      </x:c>
      <x:c r="D149" s="3" t="s">
        <x:v>1114</x:v>
      </x:c>
      <x:c r="E149" s="3" t="str">
        <x:f>='Reviewer_1'!N150</x:f>
        <x:v>Exclude</x:v>
      </x:c>
      <x:c r="F149" s="3" t="n">
        <x:f>='Reviewer_2'!N150</x:f>
        <x:v>0</x:v>
      </x:c>
      <x:c r="G149" s="3" t="str">
        <x:f>=IF(OR(E149="",F149=""),"Pending",IF(E149=F149,"Agree","Disagree"))</x:f>
        <x:v>Pending</x:v>
      </x:c>
      <x:c r="H149" s="3" t="str">
        <x:f>=IF(G149="Disagree","Conflict",IF(G149="Agree","No conflict","Pending"))</x:f>
        <x:v>Pending</x:v>
      </x:c>
      <x:c r="I149" s="3"/>
      <x:c r="J149" s="3"/>
      <x:c r="K149" s="3" t="s">
        <x:v>1512</x:v>
      </x:c>
      <x:c r="L149" s="3"/>
      <x:c r="M149" s="3"/>
    </x:row>
    <x:row r="150">
      <x:c r="A150" s="3" t="s">
        <x:v>1196</x:v>
      </x:c>
      <x:c r="B150" s="3" t="s">
        <x:v>1197</x:v>
      </x:c>
      <x:c r="C150" s="3" t="s">
        <x:v>92</x:v>
      </x:c>
      <x:c r="D150" s="3" t="s">
        <x:v>664</x:v>
      </x:c>
      <x:c r="E150" s="3" t="str">
        <x:f>='Reviewer_1'!N151</x:f>
        <x:v>Exclude</x:v>
      </x:c>
      <x:c r="F150" s="3" t="n">
        <x:f>='Reviewer_2'!N151</x:f>
        <x:v>0</x:v>
      </x:c>
      <x:c r="G150" s="3" t="str">
        <x:f>=IF(OR(E150="",F150=""),"Pending",IF(E150=F150,"Agree","Disagree"))</x:f>
        <x:v>Pending</x:v>
      </x:c>
      <x:c r="H150" s="3" t="str">
        <x:f>=IF(G150="Disagree","Conflict",IF(G150="Agree","No conflict","Pending"))</x:f>
        <x:v>Pending</x:v>
      </x:c>
      <x:c r="I150" s="3"/>
      <x:c r="J150" s="3"/>
      <x:c r="K150" s="3" t="s">
        <x:v>1512</x:v>
      </x:c>
      <x:c r="L150" s="3"/>
      <x:c r="M150" s="3"/>
    </x:row>
    <x:row r="151">
      <x:c r="A151" s="3" t="s">
        <x:v>1203</x:v>
      </x:c>
      <x:c r="B151" s="3" t="s">
        <x:v>1204</x:v>
      </x:c>
      <x:c r="C151" s="3" t="s">
        <x:v>92</x:v>
      </x:c>
      <x:c r="D151" s="3" t="s">
        <x:v>1207</x:v>
      </x:c>
      <x:c r="E151" s="3" t="str">
        <x:f>='Reviewer_1'!N152</x:f>
        <x:v>Exclude</x:v>
      </x:c>
      <x:c r="F151" s="3" t="n">
        <x:f>='Reviewer_2'!N152</x:f>
        <x:v>0</x:v>
      </x:c>
      <x:c r="G151" s="3" t="str">
        <x:f>=IF(OR(E151="",F151=""),"Pending",IF(E151=F151,"Agree","Disagree"))</x:f>
        <x:v>Pending</x:v>
      </x:c>
      <x:c r="H151" s="3" t="str">
        <x:f>=IF(G151="Disagree","Conflict",IF(G151="Agree","No conflict","Pending"))</x:f>
        <x:v>Pending</x:v>
      </x:c>
      <x:c r="I151" s="3"/>
      <x:c r="J151" s="3"/>
      <x:c r="K151" s="3" t="s">
        <x:v>1512</x:v>
      </x:c>
      <x:c r="L151" s="3"/>
      <x:c r="M151" s="3"/>
    </x:row>
    <x:row r="152">
      <x:c r="A152" s="3" t="s">
        <x:v>1212</x:v>
      </x:c>
      <x:c r="B152" s="3" t="s">
        <x:v>1213</x:v>
      </x:c>
      <x:c r="C152" s="3" t="s">
        <x:v>81</x:v>
      </x:c>
      <x:c r="D152" s="3" t="s">
        <x:v>154</x:v>
      </x:c>
      <x:c r="E152" s="3" t="str">
        <x:f>='Reviewer_1'!N153</x:f>
        <x:v>Exclude</x:v>
      </x:c>
      <x:c r="F152" s="3" t="n">
        <x:f>='Reviewer_2'!N153</x:f>
        <x:v>0</x:v>
      </x:c>
      <x:c r="G152" s="3" t="str">
        <x:f>=IF(OR(E152="",F152=""),"Pending",IF(E152=F152,"Agree","Disagree"))</x:f>
        <x:v>Pending</x:v>
      </x:c>
      <x:c r="H152" s="3" t="str">
        <x:f>=IF(G152="Disagree","Conflict",IF(G152="Agree","No conflict","Pending"))</x:f>
        <x:v>Pending</x:v>
      </x:c>
      <x:c r="I152" s="3"/>
      <x:c r="J152" s="3"/>
      <x:c r="K152" s="3" t="s">
        <x:v>1512</x:v>
      </x:c>
      <x:c r="L152" s="3"/>
      <x:c r="M152" s="3"/>
    </x:row>
    <x:row r="153">
      <x:c r="A153" s="3" t="s">
        <x:v>1219</x:v>
      </x:c>
      <x:c r="B153" s="3" t="s">
        <x:v>1220</x:v>
      </x:c>
      <x:c r="C153" s="3" t="s">
        <x:v>81</x:v>
      </x:c>
      <x:c r="D153" s="3" t="s">
        <x:v>1223</x:v>
      </x:c>
      <x:c r="E153" s="3" t="str">
        <x:f>='Reviewer_1'!N154</x:f>
        <x:v>Include</x:v>
      </x:c>
      <x:c r="F153" s="3" t="n">
        <x:f>='Reviewer_2'!N154</x:f>
        <x:v>0</x:v>
      </x:c>
      <x:c r="G153" s="3" t="str">
        <x:f>=IF(OR(E153="",F153=""),"Pending",IF(E153=F153,"Agree","Disagree"))</x:f>
        <x:v>Pending</x:v>
      </x:c>
      <x:c r="H153" s="3" t="str">
        <x:f>=IF(G153="Disagree","Conflict",IF(G153="Agree","No conflict","Pending"))</x:f>
        <x:v>Pending</x:v>
      </x:c>
      <x:c r="I153" s="3"/>
      <x:c r="J153" s="3"/>
      <x:c r="K153" s="3" t="s">
        <x:v>1512</x:v>
      </x:c>
      <x:c r="L153" s="3"/>
      <x:c r="M153" s="3"/>
    </x:row>
    <x:row r="154">
      <x:c r="A154" s="3" t="s">
        <x:v>1227</x:v>
      </x:c>
      <x:c r="B154" s="3" t="s">
        <x:v>1228</x:v>
      </x:c>
      <x:c r="C154" s="3" t="s">
        <x:v>81</x:v>
      </x:c>
      <x:c r="D154" s="3" t="s">
        <x:v>1231</x:v>
      </x:c>
      <x:c r="E154" s="3" t="str">
        <x:f>='Reviewer_1'!N155</x:f>
        <x:v>Exclude</x:v>
      </x:c>
      <x:c r="F154" s="3" t="n">
        <x:f>='Reviewer_2'!N155</x:f>
        <x:v>0</x:v>
      </x:c>
      <x:c r="G154" s="3" t="str">
        <x:f>=IF(OR(E154="",F154=""),"Pending",IF(E154=F154,"Agree","Disagree"))</x:f>
        <x:v>Pending</x:v>
      </x:c>
      <x:c r="H154" s="3" t="str">
        <x:f>=IF(G154="Disagree","Conflict",IF(G154="Agree","No conflict","Pending"))</x:f>
        <x:v>Pending</x:v>
      </x:c>
      <x:c r="I154" s="3"/>
      <x:c r="J154" s="3"/>
      <x:c r="K154" s="3" t="s">
        <x:v>1512</x:v>
      </x:c>
      <x:c r="L154" s="3"/>
      <x:c r="M154" s="3"/>
    </x:row>
    <x:row r="155">
      <x:c r="A155" s="3" t="s">
        <x:v>1235</x:v>
      </x:c>
      <x:c r="B155" s="3" t="s">
        <x:v>1236</x:v>
      </x:c>
      <x:c r="C155" s="3" t="s">
        <x:v>81</x:v>
      </x:c>
      <x:c r="D155" s="3" t="s">
        <x:v>827</x:v>
      </x:c>
      <x:c r="E155" s="3" t="str">
        <x:f>='Reviewer_1'!N156</x:f>
        <x:v>Exclude</x:v>
      </x:c>
      <x:c r="F155" s="3" t="n">
        <x:f>='Reviewer_2'!N156</x:f>
        <x:v>0</x:v>
      </x:c>
      <x:c r="G155" s="3" t="str">
        <x:f>=IF(OR(E155="",F155=""),"Pending",IF(E155=F155,"Agree","Disagree"))</x:f>
        <x:v>Pending</x:v>
      </x:c>
      <x:c r="H155" s="3" t="str">
        <x:f>=IF(G155="Disagree","Conflict",IF(G155="Agree","No conflict","Pending"))</x:f>
        <x:v>Pending</x:v>
      </x:c>
      <x:c r="I155" s="3"/>
      <x:c r="J155" s="3"/>
      <x:c r="K155" s="3" t="s">
        <x:v>1512</x:v>
      </x:c>
      <x:c r="L155" s="3"/>
      <x:c r="M155" s="3"/>
    </x:row>
    <x:row r="156">
      <x:c r="A156" s="3" t="s">
        <x:v>1242</x:v>
      </x:c>
      <x:c r="B156" s="3" t="s">
        <x:v>1243</x:v>
      </x:c>
      <x:c r="C156" s="3" t="s">
        <x:v>81</x:v>
      </x:c>
      <x:c r="D156" s="3" t="s">
        <x:v>1246</x:v>
      </x:c>
      <x:c r="E156" s="3" t="str">
        <x:f>='Reviewer_1'!N157</x:f>
        <x:v>Exclude</x:v>
      </x:c>
      <x:c r="F156" s="3" t="n">
        <x:f>='Reviewer_2'!N157</x:f>
        <x:v>0</x:v>
      </x:c>
      <x:c r="G156" s="3" t="str">
        <x:f>=IF(OR(E156="",F156=""),"Pending",IF(E156=F156,"Agree","Disagree"))</x:f>
        <x:v>Pending</x:v>
      </x:c>
      <x:c r="H156" s="3" t="str">
        <x:f>=IF(G156="Disagree","Conflict",IF(G156="Agree","No conflict","Pending"))</x:f>
        <x:v>Pending</x:v>
      </x:c>
      <x:c r="I156" s="3"/>
      <x:c r="J156" s="3"/>
      <x:c r="K156" s="3" t="s">
        <x:v>1512</x:v>
      </x:c>
      <x:c r="L156" s="3"/>
      <x:c r="M156" s="3"/>
    </x:row>
    <x:row r="157">
      <x:c r="A157" s="3" t="s">
        <x:v>1250</x:v>
      </x:c>
      <x:c r="B157" s="3" t="s">
        <x:v>1251</x:v>
      </x:c>
      <x:c r="C157" s="3" t="s">
        <x:v>81</x:v>
      </x:c>
      <x:c r="D157" s="3" t="s">
        <x:v>1254</x:v>
      </x:c>
      <x:c r="E157" s="3" t="str">
        <x:f>='Reviewer_1'!N158</x:f>
        <x:v>Include</x:v>
      </x:c>
      <x:c r="F157" s="3" t="n">
        <x:f>='Reviewer_2'!N158</x:f>
        <x:v>0</x:v>
      </x:c>
      <x:c r="G157" s="3" t="str">
        <x:f>=IF(OR(E157="",F157=""),"Pending",IF(E157=F157,"Agree","Disagree"))</x:f>
        <x:v>Pending</x:v>
      </x:c>
      <x:c r="H157" s="3" t="str">
        <x:f>=IF(G157="Disagree","Conflict",IF(G157="Agree","No conflict","Pending"))</x:f>
        <x:v>Pending</x:v>
      </x:c>
      <x:c r="I157" s="3"/>
      <x:c r="J157" s="3"/>
      <x:c r="K157" s="3" t="s">
        <x:v>1512</x:v>
      </x:c>
      <x:c r="L157" s="3"/>
      <x:c r="M157" s="3"/>
    </x:row>
    <x:row r="158">
      <x:c r="A158" s="3" t="s">
        <x:v>1258</x:v>
      </x:c>
      <x:c r="B158" s="3" t="s">
        <x:v>1259</x:v>
      </x:c>
      <x:c r="C158" s="3" t="s">
        <x:v>81</x:v>
      </x:c>
      <x:c r="D158" s="3" t="s">
        <x:v>1098</x:v>
      </x:c>
      <x:c r="E158" s="3" t="str">
        <x:f>='Reviewer_1'!N159</x:f>
        <x:v>Exclude</x:v>
      </x:c>
      <x:c r="F158" s="3" t="n">
        <x:f>='Reviewer_2'!N159</x:f>
        <x:v>0</x:v>
      </x:c>
      <x:c r="G158" s="3" t="str">
        <x:f>=IF(OR(E158="",F158=""),"Pending",IF(E158=F158,"Agree","Disagree"))</x:f>
        <x:v>Pending</x:v>
      </x:c>
      <x:c r="H158" s="3" t="str">
        <x:f>=IF(G158="Disagree","Conflict",IF(G158="Agree","No conflict","Pending"))</x:f>
        <x:v>Pending</x:v>
      </x:c>
      <x:c r="I158" s="3"/>
      <x:c r="J158" s="3"/>
      <x:c r="K158" s="3" t="s">
        <x:v>1512</x:v>
      </x:c>
      <x:c r="L158" s="3"/>
      <x:c r="M158" s="3"/>
    </x:row>
    <x:row r="159">
      <x:c r="A159" s="3" t="s">
        <x:v>1265</x:v>
      </x:c>
      <x:c r="B159" s="3" t="s">
        <x:v>1266</x:v>
      </x:c>
      <x:c r="C159" s="3" t="s">
        <x:v>81</x:v>
      </x:c>
      <x:c r="D159" s="3" t="s">
        <x:v>216</x:v>
      </x:c>
      <x:c r="E159" s="3" t="str">
        <x:f>='Reviewer_1'!N160</x:f>
        <x:v>Exclude</x:v>
      </x:c>
      <x:c r="F159" s="3" t="n">
        <x:f>='Reviewer_2'!N160</x:f>
        <x:v>0</x:v>
      </x:c>
      <x:c r="G159" s="3" t="str">
        <x:f>=IF(OR(E159="",F159=""),"Pending",IF(E159=F159,"Agree","Disagree"))</x:f>
        <x:v>Pending</x:v>
      </x:c>
      <x:c r="H159" s="3" t="str">
        <x:f>=IF(G159="Disagree","Conflict",IF(G159="Agree","No conflict","Pending"))</x:f>
        <x:v>Pending</x:v>
      </x:c>
      <x:c r="I159" s="3"/>
      <x:c r="J159" s="3"/>
      <x:c r="K159" s="3" t="s">
        <x:v>1512</x:v>
      </x:c>
      <x:c r="L159" s="3"/>
      <x:c r="M159" s="3"/>
    </x:row>
    <x:row r="160">
      <x:c r="A160" s="3" t="s">
        <x:v>1272</x:v>
      </x:c>
      <x:c r="B160" s="3" t="s">
        <x:v>1273</x:v>
      </x:c>
      <x:c r="C160" s="3" t="s">
        <x:v>81</x:v>
      </x:c>
      <x:c r="D160" s="3" t="s">
        <x:v>1276</x:v>
      </x:c>
      <x:c r="E160" s="3" t="str">
        <x:f>='Reviewer_1'!N161</x:f>
        <x:v>Exclude</x:v>
      </x:c>
      <x:c r="F160" s="3" t="n">
        <x:f>='Reviewer_2'!N161</x:f>
        <x:v>0</x:v>
      </x:c>
      <x:c r="G160" s="3" t="str">
        <x:f>=IF(OR(E160="",F160=""),"Pending",IF(E160=F160,"Agree","Disagree"))</x:f>
        <x:v>Pending</x:v>
      </x:c>
      <x:c r="H160" s="3" t="str">
        <x:f>=IF(G160="Disagree","Conflict",IF(G160="Agree","No conflict","Pending"))</x:f>
        <x:v>Pending</x:v>
      </x:c>
      <x:c r="I160" s="3"/>
      <x:c r="J160" s="3"/>
      <x:c r="K160" s="3" t="s">
        <x:v>1512</x:v>
      </x:c>
      <x:c r="L160" s="3"/>
      <x:c r="M160" s="3"/>
    </x:row>
    <x:row r="161">
      <x:c r="A161" s="3" t="s">
        <x:v>1280</x:v>
      </x:c>
      <x:c r="B161" s="3" t="s">
        <x:v>1281</x:v>
      </x:c>
      <x:c r="C161" s="3" t="s">
        <x:v>288</x:v>
      </x:c>
      <x:c r="D161" s="3" t="s">
        <x:v>1284</x:v>
      </x:c>
      <x:c r="E161" s="3" t="str">
        <x:f>='Reviewer_1'!N162</x:f>
        <x:v>Exclude</x:v>
      </x:c>
      <x:c r="F161" s="3" t="n">
        <x:f>='Reviewer_2'!N162</x:f>
        <x:v>0</x:v>
      </x:c>
      <x:c r="G161" s="3" t="str">
        <x:f>=IF(OR(E161="",F161=""),"Pending",IF(E161=F161,"Agree","Disagree"))</x:f>
        <x:v>Pending</x:v>
      </x:c>
      <x:c r="H161" s="3" t="str">
        <x:f>=IF(G161="Disagree","Conflict",IF(G161="Agree","No conflict","Pending"))</x:f>
        <x:v>Pending</x:v>
      </x:c>
      <x:c r="I161" s="3"/>
      <x:c r="J161" s="3"/>
      <x:c r="K161" s="3" t="s">
        <x:v>1512</x:v>
      </x:c>
      <x:c r="L161" s="3"/>
      <x:c r="M161" s="3"/>
    </x:row>
    <x:row r="162">
      <x:c r="A162" s="3" t="s">
        <x:v>1288</x:v>
      </x:c>
      <x:c r="B162" s="3" t="s">
        <x:v>1289</x:v>
      </x:c>
      <x:c r="C162" s="3" t="s">
        <x:v>81</x:v>
      </x:c>
      <x:c r="D162" s="3" t="s">
        <x:v>1292</x:v>
      </x:c>
      <x:c r="E162" s="3" t="str">
        <x:f>='Reviewer_1'!N163</x:f>
        <x:v>Unclear</x:v>
      </x:c>
      <x:c r="F162" s="3" t="n">
        <x:f>='Reviewer_2'!N163</x:f>
        <x:v>0</x:v>
      </x:c>
      <x:c r="G162" s="3" t="str">
        <x:f>=IF(OR(E162="",F162=""),"Pending",IF(E162=F162,"Agree","Disagree"))</x:f>
        <x:v>Pending</x:v>
      </x:c>
      <x:c r="H162" s="3" t="str">
        <x:f>=IF(G162="Disagree","Conflict",IF(G162="Agree","No conflict","Pending"))</x:f>
        <x:v>Pending</x:v>
      </x:c>
      <x:c r="I162" s="3"/>
      <x:c r="J162" s="3"/>
      <x:c r="K162" s="3" t="s">
        <x:v>1512</x:v>
      </x:c>
      <x:c r="L162" s="3"/>
      <x:c r="M162" s="3"/>
    </x:row>
    <x:row r="163">
      <x:c r="A163" s="3" t="s">
        <x:v>1297</x:v>
      </x:c>
      <x:c r="B163" s="3" t="s">
        <x:v>1298</x:v>
      </x:c>
      <x:c r="C163" s="3" t="s">
        <x:v>288</x:v>
      </x:c>
      <x:c r="D163" s="3" t="s">
        <x:v>1301</x:v>
      </x:c>
      <x:c r="E163" s="3" t="str">
        <x:f>='Reviewer_1'!N164</x:f>
        <x:v>Exclude</x:v>
      </x:c>
      <x:c r="F163" s="3" t="n">
        <x:f>='Reviewer_2'!N164</x:f>
        <x:v>0</x:v>
      </x:c>
      <x:c r="G163" s="3" t="str">
        <x:f>=IF(OR(E163="",F163=""),"Pending",IF(E163=F163,"Agree","Disagree"))</x:f>
        <x:v>Pending</x:v>
      </x:c>
      <x:c r="H163" s="3" t="str">
        <x:f>=IF(G163="Disagree","Conflict",IF(G163="Agree","No conflict","Pending"))</x:f>
        <x:v>Pending</x:v>
      </x:c>
      <x:c r="I163" s="3"/>
      <x:c r="J163" s="3"/>
      <x:c r="K163" s="3" t="s">
        <x:v>1512</x:v>
      </x:c>
      <x:c r="L163" s="3"/>
      <x:c r="M163" s="3"/>
    </x:row>
    <x:row r="164">
      <x:c r="A164" s="3" t="s">
        <x:v>1305</x:v>
      </x:c>
      <x:c r="B164" s="3" t="s">
        <x:v>1306</x:v>
      </x:c>
      <x:c r="C164" s="3" t="s">
        <x:v>288</x:v>
      </x:c>
      <x:c r="D164" s="3" t="s">
        <x:v>1309</x:v>
      </x:c>
      <x:c r="E164" s="3" t="str">
        <x:f>='Reviewer_1'!N165</x:f>
        <x:v>Exclude</x:v>
      </x:c>
      <x:c r="F164" s="3" t="n">
        <x:f>='Reviewer_2'!N165</x:f>
        <x:v>0</x:v>
      </x:c>
      <x:c r="G164" s="3" t="str">
        <x:f>=IF(OR(E164="",F164=""),"Pending",IF(E164=F164,"Agree","Disagree"))</x:f>
        <x:v>Pending</x:v>
      </x:c>
      <x:c r="H164" s="3" t="str">
        <x:f>=IF(G164="Disagree","Conflict",IF(G164="Agree","No conflict","Pending"))</x:f>
        <x:v>Pending</x:v>
      </x:c>
      <x:c r="I164" s="3"/>
      <x:c r="J164" s="3"/>
      <x:c r="K164" s="3" t="s">
        <x:v>1512</x:v>
      </x:c>
      <x:c r="L164" s="3"/>
      <x:c r="M164" s="3"/>
    </x:row>
    <x:row r="165">
      <x:c r="A165" s="3" t="s">
        <x:v>1313</x:v>
      </x:c>
      <x:c r="B165" s="3" t="s">
        <x:v>1314</x:v>
      </x:c>
      <x:c r="C165" s="3" t="s">
        <x:v>81</x:v>
      </x:c>
      <x:c r="D165" s="3" t="s">
        <x:v>827</x:v>
      </x:c>
      <x:c r="E165" s="3" t="str">
        <x:f>='Reviewer_1'!N166</x:f>
        <x:v>Exclude</x:v>
      </x:c>
      <x:c r="F165" s="3" t="n">
        <x:f>='Reviewer_2'!N166</x:f>
        <x:v>0</x:v>
      </x:c>
      <x:c r="G165" s="3" t="str">
        <x:f>=IF(OR(E165="",F165=""),"Pending",IF(E165=F165,"Agree","Disagree"))</x:f>
        <x:v>Pending</x:v>
      </x:c>
      <x:c r="H165" s="3" t="str">
        <x:f>=IF(G165="Disagree","Conflict",IF(G165="Agree","No conflict","Pending"))</x:f>
        <x:v>Pending</x:v>
      </x:c>
      <x:c r="I165" s="3"/>
      <x:c r="J165" s="3"/>
      <x:c r="K165" s="3" t="s">
        <x:v>1512</x:v>
      </x:c>
      <x:c r="L165" s="3"/>
      <x:c r="M165" s="3"/>
    </x:row>
    <x:row r="166">
      <x:c r="A166" s="3" t="s">
        <x:v>1319</x:v>
      </x:c>
      <x:c r="B166" s="3" t="s">
        <x:v>1320</x:v>
      </x:c>
      <x:c r="C166" s="3" t="s">
        <x:v>288</x:v>
      </x:c>
      <x:c r="D166" s="3" t="s">
        <x:v>1010</x:v>
      </x:c>
      <x:c r="E166" s="3" t="str">
        <x:f>='Reviewer_1'!N167</x:f>
        <x:v>Exclude</x:v>
      </x:c>
      <x:c r="F166" s="3" t="n">
        <x:f>='Reviewer_2'!N167</x:f>
        <x:v>0</x:v>
      </x:c>
      <x:c r="G166" s="3" t="str">
        <x:f>=IF(OR(E166="",F166=""),"Pending",IF(E166=F166,"Agree","Disagree"))</x:f>
        <x:v>Pending</x:v>
      </x:c>
      <x:c r="H166" s="3" t="str">
        <x:f>=IF(G166="Disagree","Conflict",IF(G166="Agree","No conflict","Pending"))</x:f>
        <x:v>Pending</x:v>
      </x:c>
      <x:c r="I166" s="3"/>
      <x:c r="J166" s="3"/>
      <x:c r="K166" s="3" t="s">
        <x:v>1512</x:v>
      </x:c>
      <x:c r="L166" s="3"/>
      <x:c r="M166" s="3"/>
    </x:row>
    <x:row r="167">
      <x:c r="A167" s="3" t="s">
        <x:v>1326</x:v>
      </x:c>
      <x:c r="B167" s="3" t="s">
        <x:v>1327</x:v>
      </x:c>
      <x:c r="C167" s="3" t="s">
        <x:v>288</x:v>
      </x:c>
      <x:c r="D167" s="3" t="s">
        <x:v>714</x:v>
      </x:c>
      <x:c r="E167" s="3" t="str">
        <x:f>='Reviewer_1'!N168</x:f>
        <x:v>Exclude</x:v>
      </x:c>
      <x:c r="F167" s="3" t="n">
        <x:f>='Reviewer_2'!N168</x:f>
        <x:v>0</x:v>
      </x:c>
      <x:c r="G167" s="3" t="str">
        <x:f>=IF(OR(E167="",F167=""),"Pending",IF(E167=F167,"Agree","Disagree"))</x:f>
        <x:v>Pending</x:v>
      </x:c>
      <x:c r="H167" s="3" t="str">
        <x:f>=IF(G167="Disagree","Conflict",IF(G167="Agree","No conflict","Pending"))</x:f>
        <x:v>Pending</x:v>
      </x:c>
      <x:c r="I167" s="3"/>
      <x:c r="J167" s="3"/>
      <x:c r="K167" s="3" t="s">
        <x:v>1512</x:v>
      </x:c>
      <x:c r="L167" s="3"/>
      <x:c r="M167" s="3"/>
    </x:row>
    <x:row r="168">
      <x:c r="A168" s="3" t="s">
        <x:v>1333</x:v>
      </x:c>
      <x:c r="B168" s="3" t="s">
        <x:v>1334</x:v>
      </x:c>
      <x:c r="C168" s="3" t="s">
        <x:v>81</x:v>
      </x:c>
      <x:c r="D168" s="3" t="s">
        <x:v>1254</x:v>
      </x:c>
      <x:c r="E168" s="3" t="str">
        <x:f>='Reviewer_1'!N169</x:f>
        <x:v>Exclude</x:v>
      </x:c>
      <x:c r="F168" s="3" t="n">
        <x:f>='Reviewer_2'!N169</x:f>
        <x:v>0</x:v>
      </x:c>
      <x:c r="G168" s="3" t="str">
        <x:f>=IF(OR(E168="",F168=""),"Pending",IF(E168=F168,"Agree","Disagree"))</x:f>
        <x:v>Pending</x:v>
      </x:c>
      <x:c r="H168" s="3" t="str">
        <x:f>=IF(G168="Disagree","Conflict",IF(G168="Agree","No conflict","Pending"))</x:f>
        <x:v>Pending</x:v>
      </x:c>
      <x:c r="I168" s="3"/>
      <x:c r="J168" s="3"/>
      <x:c r="K168" s="3" t="s">
        <x:v>1512</x:v>
      </x:c>
      <x:c r="L168" s="3"/>
      <x:c r="M168" s="3"/>
    </x:row>
    <x:row r="169">
      <x:c r="A169" s="3" t="s">
        <x:v>1340</x:v>
      </x:c>
      <x:c r="B169" s="3" t="s">
        <x:v>1341</x:v>
      </x:c>
      <x:c r="C169" s="3" t="s">
        <x:v>288</x:v>
      </x:c>
      <x:c r="D169" s="3" t="s">
        <x:v>1344</x:v>
      </x:c>
      <x:c r="E169" s="3" t="str">
        <x:f>='Reviewer_1'!N170</x:f>
        <x:v>Exclude</x:v>
      </x:c>
      <x:c r="F169" s="3" t="n">
        <x:f>='Reviewer_2'!N170</x:f>
        <x:v>0</x:v>
      </x:c>
      <x:c r="G169" s="3" t="str">
        <x:f>=IF(OR(E169="",F169=""),"Pending",IF(E169=F169,"Agree","Disagree"))</x:f>
        <x:v>Pending</x:v>
      </x:c>
      <x:c r="H169" s="3" t="str">
        <x:f>=IF(G169="Disagree","Conflict",IF(G169="Agree","No conflict","Pending"))</x:f>
        <x:v>Pending</x:v>
      </x:c>
      <x:c r="I169" s="3"/>
      <x:c r="J169" s="3"/>
      <x:c r="K169" s="3" t="s">
        <x:v>1512</x:v>
      </x:c>
      <x:c r="L169" s="3"/>
      <x:c r="M169" s="3"/>
    </x:row>
    <x:row r="170">
      <x:c r="A170" s="3" t="s">
        <x:v>1348</x:v>
      </x:c>
      <x:c r="B170" s="3" t="s">
        <x:v>1349</x:v>
      </x:c>
      <x:c r="C170" s="3" t="s">
        <x:v>288</x:v>
      </x:c>
      <x:c r="D170" s="3" t="s">
        <x:v>1351</x:v>
      </x:c>
      <x:c r="E170" s="3" t="str">
        <x:f>='Reviewer_1'!N171</x:f>
        <x:v>Exclude</x:v>
      </x:c>
      <x:c r="F170" s="3" t="n">
        <x:f>='Reviewer_2'!N171</x:f>
        <x:v>0</x:v>
      </x:c>
      <x:c r="G170" s="3" t="str">
        <x:f>=IF(OR(E170="",F170=""),"Pending",IF(E170=F170,"Agree","Disagree"))</x:f>
        <x:v>Pending</x:v>
      </x:c>
      <x:c r="H170" s="3" t="str">
        <x:f>=IF(G170="Disagree","Conflict",IF(G170="Agree","No conflict","Pending"))</x:f>
        <x:v>Pending</x:v>
      </x:c>
      <x:c r="I170" s="3"/>
      <x:c r="J170" s="3"/>
      <x:c r="K170" s="3" t="s">
        <x:v>1512</x:v>
      </x:c>
      <x:c r="L170" s="3"/>
      <x:c r="M170" s="3"/>
    </x:row>
    <x:row r="171">
      <x:c r="A171" s="3" t="s">
        <x:v>1355</x:v>
      </x:c>
      <x:c r="B171" s="3" t="s">
        <x:v>1356</x:v>
      </x:c>
      <x:c r="C171" s="3" t="s">
        <x:v>288</x:v>
      </x:c>
      <x:c r="D171" s="3" t="s">
        <x:v>1359</x:v>
      </x:c>
      <x:c r="E171" s="3" t="str">
        <x:f>='Reviewer_1'!N172</x:f>
        <x:v>Exclude</x:v>
      </x:c>
      <x:c r="F171" s="3" t="n">
        <x:f>='Reviewer_2'!N172</x:f>
        <x:v>0</x:v>
      </x:c>
      <x:c r="G171" s="3" t="str">
        <x:f>=IF(OR(E171="",F171=""),"Pending",IF(E171=F171,"Agree","Disagree"))</x:f>
        <x:v>Pending</x:v>
      </x:c>
      <x:c r="H171" s="3" t="str">
        <x:f>=IF(G171="Disagree","Conflict",IF(G171="Agree","No conflict","Pending"))</x:f>
        <x:v>Pending</x:v>
      </x:c>
      <x:c r="I171" s="3"/>
      <x:c r="J171" s="3"/>
      <x:c r="K171" s="3" t="s">
        <x:v>1512</x:v>
      </x:c>
      <x:c r="L171" s="3"/>
      <x:c r="M171" s="3"/>
    </x:row>
    <x:row r="172">
      <x:c r="A172" s="3" t="s">
        <x:v>1363</x:v>
      </x:c>
      <x:c r="B172" s="3" t="s">
        <x:v>1364</x:v>
      </x:c>
      <x:c r="C172" s="3" t="s">
        <x:v>288</x:v>
      </x:c>
      <x:c r="D172" s="3" t="s">
        <x:v>1367</x:v>
      </x:c>
      <x:c r="E172" s="3" t="str">
        <x:f>='Reviewer_1'!N173</x:f>
        <x:v>Unclear</x:v>
      </x:c>
      <x:c r="F172" s="3" t="n">
        <x:f>='Reviewer_2'!N173</x:f>
        <x:v>0</x:v>
      </x:c>
      <x:c r="G172" s="3" t="str">
        <x:f>=IF(OR(E172="",F172=""),"Pending",IF(E172=F172,"Agree","Disagree"))</x:f>
        <x:v>Pending</x:v>
      </x:c>
      <x:c r="H172" s="3" t="str">
        <x:f>=IF(G172="Disagree","Conflict",IF(G172="Agree","No conflict","Pending"))</x:f>
        <x:v>Pending</x:v>
      </x:c>
      <x:c r="I172" s="3"/>
      <x:c r="J172" s="3"/>
      <x:c r="K172" s="3" t="s">
        <x:v>1512</x:v>
      </x:c>
      <x:c r="L172" s="3"/>
      <x:c r="M172" s="3"/>
    </x:row>
    <x:row r="173">
      <x:c r="A173" s="3" t="s">
        <x:v>1371</x:v>
      </x:c>
      <x:c r="B173" s="3" t="s">
        <x:v>1372</x:v>
      </x:c>
      <x:c r="C173" s="3" t="s">
        <x:v>288</x:v>
      </x:c>
      <x:c r="D173" s="3" t="s">
        <x:v>1375</x:v>
      </x:c>
      <x:c r="E173" s="3" t="str">
        <x:f>='Reviewer_1'!N174</x:f>
        <x:v>Exclude</x:v>
      </x:c>
      <x:c r="F173" s="3" t="n">
        <x:f>='Reviewer_2'!N174</x:f>
        <x:v>0</x:v>
      </x:c>
      <x:c r="G173" s="3" t="str">
        <x:f>=IF(OR(E173="",F173=""),"Pending",IF(E173=F173,"Agree","Disagree"))</x:f>
        <x:v>Pending</x:v>
      </x:c>
      <x:c r="H173" s="3" t="str">
        <x:f>=IF(G173="Disagree","Conflict",IF(G173="Agree","No conflict","Pending"))</x:f>
        <x:v>Pending</x:v>
      </x:c>
      <x:c r="I173" s="3"/>
      <x:c r="J173" s="3"/>
      <x:c r="K173" s="3" t="s">
        <x:v>1512</x:v>
      </x:c>
      <x:c r="L173" s="3"/>
      <x:c r="M173" s="3"/>
    </x:row>
    <x:row r="174">
      <x:c r="A174" s="3" t="s">
        <x:v>1379</x:v>
      </x:c>
      <x:c r="B174" s="3" t="s">
        <x:v>1380</x:v>
      </x:c>
      <x:c r="C174" s="3" t="s">
        <x:v>288</x:v>
      </x:c>
      <x:c r="D174" s="3" t="s">
        <x:v>256</x:v>
      </x:c>
      <x:c r="E174" s="3" t="str">
        <x:f>='Reviewer_1'!N175</x:f>
        <x:v>Exclude</x:v>
      </x:c>
      <x:c r="F174" s="3" t="n">
        <x:f>='Reviewer_2'!N175</x:f>
        <x:v>0</x:v>
      </x:c>
      <x:c r="G174" s="3" t="str">
        <x:f>=IF(OR(E174="",F174=""),"Pending",IF(E174=F174,"Agree","Disagree"))</x:f>
        <x:v>Pending</x:v>
      </x:c>
      <x:c r="H174" s="3" t="str">
        <x:f>=IF(G174="Disagree","Conflict",IF(G174="Agree","No conflict","Pending"))</x:f>
        <x:v>Pending</x:v>
      </x:c>
      <x:c r="I174" s="3"/>
      <x:c r="J174" s="3"/>
      <x:c r="K174" s="3" t="s">
        <x:v>1512</x:v>
      </x:c>
      <x:c r="L174" s="3"/>
      <x:c r="M174" s="3"/>
    </x:row>
    <x:row r="175">
      <x:c r="A175" s="3" t="s">
        <x:v>1385</x:v>
      </x:c>
      <x:c r="B175" s="3" t="s">
        <x:v>1386</x:v>
      </x:c>
      <x:c r="C175" s="3" t="s">
        <x:v>288</x:v>
      </x:c>
      <x:c r="D175" s="3" t="s">
        <x:v>1388</x:v>
      </x:c>
      <x:c r="E175" s="3" t="str">
        <x:f>='Reviewer_1'!N176</x:f>
        <x:v>Exclude</x:v>
      </x:c>
      <x:c r="F175" s="3" t="n">
        <x:f>='Reviewer_2'!N176</x:f>
        <x:v>0</x:v>
      </x:c>
      <x:c r="G175" s="3" t="str">
        <x:f>=IF(OR(E175="",F175=""),"Pending",IF(E175=F175,"Agree","Disagree"))</x:f>
        <x:v>Pending</x:v>
      </x:c>
      <x:c r="H175" s="3" t="str">
        <x:f>=IF(G175="Disagree","Conflict",IF(G175="Agree","No conflict","Pending"))</x:f>
        <x:v>Pending</x:v>
      </x:c>
      <x:c r="I175" s="3"/>
      <x:c r="J175" s="3"/>
      <x:c r="K175" s="3" t="s">
        <x:v>1512</x:v>
      </x:c>
      <x:c r="L175" s="3"/>
      <x:c r="M175" s="3"/>
    </x:row>
    <x:row r="176">
      <x:c r="A176" s="3" t="s">
        <x:v>1393</x:v>
      </x:c>
      <x:c r="B176" s="3" t="s">
        <x:v>1394</x:v>
      </x:c>
      <x:c r="C176" s="3" t="s">
        <x:v>297</x:v>
      </x:c>
      <x:c r="D176" s="3" t="s">
        <x:v>1367</x:v>
      </x:c>
      <x:c r="E176" s="3" t="str">
        <x:f>='Reviewer_1'!N177</x:f>
        <x:v>Exclude</x:v>
      </x:c>
      <x:c r="F176" s="3" t="n">
        <x:f>='Reviewer_2'!N177</x:f>
        <x:v>0</x:v>
      </x:c>
      <x:c r="G176" s="3" t="str">
        <x:f>=IF(OR(E176="",F176=""),"Pending",IF(E176=F176,"Agree","Disagree"))</x:f>
        <x:v>Pending</x:v>
      </x:c>
      <x:c r="H176" s="3" t="str">
        <x:f>=IF(G176="Disagree","Conflict",IF(G176="Agree","No conflict","Pending"))</x:f>
        <x:v>Pending</x:v>
      </x:c>
      <x:c r="I176" s="3"/>
      <x:c r="J176" s="3"/>
      <x:c r="K176" s="3" t="s">
        <x:v>1512</x:v>
      </x:c>
      <x:c r="L176" s="3"/>
      <x:c r="M176" s="3"/>
    </x:row>
    <x:row r="177">
      <x:c r="A177" s="3" t="s">
        <x:v>1399</x:v>
      </x:c>
      <x:c r="B177" s="3" t="s">
        <x:v>1400</x:v>
      </x:c>
      <x:c r="C177" s="3" t="s">
        <x:v>297</x:v>
      </x:c>
      <x:c r="D177" s="3" t="s">
        <x:v>1403</x:v>
      </x:c>
      <x:c r="E177" s="3" t="str">
        <x:f>='Reviewer_1'!N178</x:f>
        <x:v>Exclude</x:v>
      </x:c>
      <x:c r="F177" s="3" t="n">
        <x:f>='Reviewer_2'!N178</x:f>
        <x:v>0</x:v>
      </x:c>
      <x:c r="G177" s="3" t="str">
        <x:f>=IF(OR(E177="",F177=""),"Pending",IF(E177=F177,"Agree","Disagree"))</x:f>
        <x:v>Pending</x:v>
      </x:c>
      <x:c r="H177" s="3" t="str">
        <x:f>=IF(G177="Disagree","Conflict",IF(G177="Agree","No conflict","Pending"))</x:f>
        <x:v>Pending</x:v>
      </x:c>
      <x:c r="I177" s="3"/>
      <x:c r="J177" s="3"/>
      <x:c r="K177" s="3" t="s">
        <x:v>1512</x:v>
      </x:c>
      <x:c r="L177" s="3"/>
      <x:c r="M177" s="3"/>
    </x:row>
    <x:row r="178">
      <x:c r="A178" s="3" t="s">
        <x:v>1407</x:v>
      </x:c>
      <x:c r="B178" s="3" t="s">
        <x:v>1408</x:v>
      </x:c>
      <x:c r="C178" s="3" t="s">
        <x:v>297</x:v>
      </x:c>
      <x:c r="D178" s="3" t="s">
        <x:v>1411</x:v>
      </x:c>
      <x:c r="E178" s="3" t="str">
        <x:f>='Reviewer_1'!N179</x:f>
        <x:v>Exclude</x:v>
      </x:c>
      <x:c r="F178" s="3" t="n">
        <x:f>='Reviewer_2'!N179</x:f>
        <x:v>0</x:v>
      </x:c>
      <x:c r="G178" s="3" t="str">
        <x:f>=IF(OR(E178="",F178=""),"Pending",IF(E178=F178,"Agree","Disagree"))</x:f>
        <x:v>Pending</x:v>
      </x:c>
      <x:c r="H178" s="3" t="str">
        <x:f>=IF(G178="Disagree","Conflict",IF(G178="Agree","No conflict","Pending"))</x:f>
        <x:v>Pending</x:v>
      </x:c>
      <x:c r="I178" s="3"/>
      <x:c r="J178" s="3"/>
      <x:c r="K178" s="3" t="s">
        <x:v>1512</x:v>
      </x:c>
      <x:c r="L178" s="3"/>
      <x:c r="M178" s="3"/>
    </x:row>
    <x:row r="179">
      <x:c r="A179" s="3" t="s">
        <x:v>1415</x:v>
      </x:c>
      <x:c r="B179" s="3" t="s">
        <x:v>1416</x:v>
      </x:c>
      <x:c r="C179" s="3" t="s">
        <x:v>297</x:v>
      </x:c>
      <x:c r="D179" s="3" t="s">
        <x:v>1419</x:v>
      </x:c>
      <x:c r="E179" s="3" t="str">
        <x:f>='Reviewer_1'!N180</x:f>
        <x:v>Exclude</x:v>
      </x:c>
      <x:c r="F179" s="3" t="n">
        <x:f>='Reviewer_2'!N180</x:f>
        <x:v>0</x:v>
      </x:c>
      <x:c r="G179" s="3" t="str">
        <x:f>=IF(OR(E179="",F179=""),"Pending",IF(E179=F179,"Agree","Disagree"))</x:f>
        <x:v>Pending</x:v>
      </x:c>
      <x:c r="H179" s="3" t="str">
        <x:f>=IF(G179="Disagree","Conflict",IF(G179="Agree","No conflict","Pending"))</x:f>
        <x:v>Pending</x:v>
      </x:c>
      <x:c r="I179" s="3"/>
      <x:c r="J179" s="3"/>
      <x:c r="K179" s="3" t="s">
        <x:v>1512</x:v>
      </x:c>
      <x:c r="L179" s="3"/>
      <x:c r="M179" s="3"/>
    </x:row>
    <x:row r="180">
      <x:c r="A180" s="3" t="s">
        <x:v>1423</x:v>
      </x:c>
      <x:c r="B180" s="3" t="s">
        <x:v>1424</x:v>
      </x:c>
      <x:c r="C180" s="3" t="s">
        <x:v>1427</x:v>
      </x:c>
      <x:c r="D180" s="3" t="s">
        <x:v>1428</x:v>
      </x:c>
      <x:c r="E180" s="3" t="str">
        <x:f>='Reviewer_1'!N181</x:f>
        <x:v>Exclude</x:v>
      </x:c>
      <x:c r="F180" s="3" t="n">
        <x:f>='Reviewer_2'!N181</x:f>
        <x:v>0</x:v>
      </x:c>
      <x:c r="G180" s="3" t="str">
        <x:f>=IF(OR(E180="",F180=""),"Pending",IF(E180=F180,"Agree","Disagree"))</x:f>
        <x:v>Pending</x:v>
      </x:c>
      <x:c r="H180" s="3" t="str">
        <x:f>=IF(G180="Disagree","Conflict",IF(G180="Agree","No conflict","Pending"))</x:f>
        <x:v>Pending</x:v>
      </x:c>
      <x:c r="I180" s="3"/>
      <x:c r="J180" s="3"/>
      <x:c r="K180" s="3" t="s">
        <x:v>1512</x:v>
      </x:c>
      <x:c r="L180" s="3"/>
      <x:c r="M180" s="3"/>
    </x:row>
    <x:row r="181">
      <x:c r="A181" s="3" t="s">
        <x:v>1432</x:v>
      </x:c>
      <x:c r="B181" s="3" t="s">
        <x:v>1433</x:v>
      </x:c>
      <x:c r="C181" s="3" t="s">
        <x:v>1427</x:v>
      </x:c>
      <x:c r="D181" s="3" t="s">
        <x:v>1436</x:v>
      </x:c>
      <x:c r="E181" s="3" t="str">
        <x:f>='Reviewer_1'!N182</x:f>
        <x:v>Exclude</x:v>
      </x:c>
      <x:c r="F181" s="3" t="n">
        <x:f>='Reviewer_2'!N182</x:f>
        <x:v>0</x:v>
      </x:c>
      <x:c r="G181" s="3" t="str">
        <x:f>=IF(OR(E181="",F181=""),"Pending",IF(E181=F181,"Agree","Disagree"))</x:f>
        <x:v>Pending</x:v>
      </x:c>
      <x:c r="H181" s="3" t="str">
        <x:f>=IF(G181="Disagree","Conflict",IF(G181="Agree","No conflict","Pending"))</x:f>
        <x:v>Pending</x:v>
      </x:c>
      <x:c r="I181" s="3"/>
      <x:c r="J181" s="3"/>
      <x:c r="K181" s="3" t="s">
        <x:v>1512</x:v>
      </x:c>
      <x:c r="L181" s="3"/>
      <x:c r="M181" s="3"/>
    </x:row>
    <x:row r="182">
      <x:c r="A182" s="3" t="s">
        <x:v>1439</x:v>
      </x:c>
      <x:c r="B182" s="3" t="s">
        <x:v>1440</x:v>
      </x:c>
      <x:c r="C182" s="3" t="s">
        <x:v>1427</x:v>
      </x:c>
      <x:c r="D182" s="3" t="s">
        <x:v>1344</x:v>
      </x:c>
      <x:c r="E182" s="3" t="str">
        <x:f>='Reviewer_1'!N183</x:f>
        <x:v>Exclude</x:v>
      </x:c>
      <x:c r="F182" s="3" t="n">
        <x:f>='Reviewer_2'!N183</x:f>
        <x:v>0</x:v>
      </x:c>
      <x:c r="G182" s="3" t="str">
        <x:f>=IF(OR(E182="",F182=""),"Pending",IF(E182=F182,"Agree","Disagree"))</x:f>
        <x:v>Pending</x:v>
      </x:c>
      <x:c r="H182" s="3" t="str">
        <x:f>=IF(G182="Disagree","Conflict",IF(G182="Agree","No conflict","Pending"))</x:f>
        <x:v>Pending</x:v>
      </x:c>
      <x:c r="I182" s="3"/>
      <x:c r="J182" s="3"/>
      <x:c r="K182" s="3" t="s">
        <x:v>1512</x:v>
      </x:c>
      <x:c r="L182" s="3"/>
      <x:c r="M182" s="3"/>
    </x:row>
    <x:row r="183">
      <x:c r="A183" s="3" t="s">
        <x:v>1446</x:v>
      </x:c>
      <x:c r="B183" s="3" t="s">
        <x:v>1447</x:v>
      </x:c>
      <x:c r="C183" s="3" t="s">
        <x:v>163</x:v>
      </x:c>
      <x:c r="D183" s="3" t="s">
        <x:v>1450</x:v>
      </x:c>
      <x:c r="E183" s="3" t="str">
        <x:f>='Reviewer_1'!N184</x:f>
        <x:v>Exclude</x:v>
      </x:c>
      <x:c r="F183" s="3" t="n">
        <x:f>='Reviewer_2'!N184</x:f>
        <x:v>0</x:v>
      </x:c>
      <x:c r="G183" s="3" t="str">
        <x:f>=IF(OR(E183="",F183=""),"Pending",IF(E183=F183,"Agree","Disagree"))</x:f>
        <x:v>Pending</x:v>
      </x:c>
      <x:c r="H183" s="3" t="str">
        <x:f>=IF(G183="Disagree","Conflict",IF(G183="Agree","No conflict","Pending"))</x:f>
        <x:v>Pending</x:v>
      </x:c>
      <x:c r="I183" s="3"/>
      <x:c r="J183" s="3"/>
      <x:c r="K183" s="3" t="s">
        <x:v>1512</x:v>
      </x:c>
      <x:c r="L183" s="3"/>
      <x:c r="M183" s="3"/>
    </x:row>
    <x:row r="184">
      <x:c r="A184" s="3" t="s">
        <x:v>1454</x:v>
      </x:c>
      <x:c r="B184" s="3" t="s">
        <x:v>1455</x:v>
      </x:c>
      <x:c r="C184" s="3" t="s">
        <x:v>163</x:v>
      </x:c>
      <x:c r="D184" s="3" t="s">
        <x:v>1458</x:v>
      </x:c>
      <x:c r="E184" s="3" t="str">
        <x:f>='Reviewer_1'!N185</x:f>
        <x:v>Exclude</x:v>
      </x:c>
      <x:c r="F184" s="3" t="n">
        <x:f>='Reviewer_2'!N185</x:f>
        <x:v>0</x:v>
      </x:c>
      <x:c r="G184" s="3" t="str">
        <x:f>=IF(OR(E184="",F184=""),"Pending",IF(E184=F184,"Agree","Disagree"))</x:f>
        <x:v>Pending</x:v>
      </x:c>
      <x:c r="H184" s="3" t="str">
        <x:f>=IF(G184="Disagree","Conflict",IF(G184="Agree","No conflict","Pending"))</x:f>
        <x:v>Pending</x:v>
      </x:c>
      <x:c r="I184" s="3"/>
      <x:c r="J184" s="3"/>
      <x:c r="K184" s="3" t="s">
        <x:v>1512</x:v>
      </x:c>
      <x:c r="L184" s="3"/>
      <x:c r="M184" s="3"/>
    </x:row>
    <x:row r="185">
      <x:c r="A185" s="3" t="s">
        <x:v>1463</x:v>
      </x:c>
      <x:c r="B185" s="3" t="s">
        <x:v>1464</x:v>
      </x:c>
      <x:c r="C185" s="3" t="s">
        <x:v>163</x:v>
      </x:c>
      <x:c r="D185" s="3" t="s">
        <x:v>1467</x:v>
      </x:c>
      <x:c r="E185" s="3" t="str">
        <x:f>='Reviewer_1'!N186</x:f>
        <x:v>Exclude</x:v>
      </x:c>
      <x:c r="F185" s="3" t="n">
        <x:f>='Reviewer_2'!N186</x:f>
        <x:v>0</x:v>
      </x:c>
      <x:c r="G185" s="3" t="str">
        <x:f>=IF(OR(E185="",F185=""),"Pending",IF(E185=F185,"Agree","Disagree"))</x:f>
        <x:v>Pending</x:v>
      </x:c>
      <x:c r="H185" s="3" t="str">
        <x:f>=IF(G185="Disagree","Conflict",IF(G185="Agree","No conflict","Pending"))</x:f>
        <x:v>Pending</x:v>
      </x:c>
      <x:c r="I185" s="3"/>
      <x:c r="J185" s="3"/>
      <x:c r="K185" s="3" t="s">
        <x:v>1512</x:v>
      </x:c>
      <x:c r="L185" s="3"/>
      <x:c r="M185" s="3"/>
    </x:row>
    <x:row r="186">
      <x:c r="A186" s="3" t="s">
        <x:v>1471</x:v>
      </x:c>
      <x:c r="B186" s="3" t="s">
        <x:v>1472</x:v>
      </x:c>
      <x:c r="C186" s="3" t="s">
        <x:v>163</x:v>
      </x:c>
      <x:c r="D186" s="3" t="s">
        <x:v>1475</x:v>
      </x:c>
      <x:c r="E186" s="3" t="str">
        <x:f>='Reviewer_1'!N187</x:f>
        <x:v>Exclude</x:v>
      </x:c>
      <x:c r="F186" s="3" t="n">
        <x:f>='Reviewer_2'!N187</x:f>
        <x:v>0</x:v>
      </x:c>
      <x:c r="G186" s="3" t="str">
        <x:f>=IF(OR(E186="",F186=""),"Pending",IF(E186=F186,"Agree","Disagree"))</x:f>
        <x:v>Pending</x:v>
      </x:c>
      <x:c r="H186" s="3" t="str">
        <x:f>=IF(G186="Disagree","Conflict",IF(G186="Agree","No conflict","Pending"))</x:f>
        <x:v>Pending</x:v>
      </x:c>
      <x:c r="I186" s="3"/>
      <x:c r="J186" s="3"/>
      <x:c r="K186" s="3" t="s">
        <x:v>1512</x:v>
      </x:c>
      <x:c r="L186" s="3"/>
      <x:c r="M186" s="3"/>
    </x:row>
    <x:row r="187">
      <x:c r="A187" s="3" t="s">
        <x:v>1479</x:v>
      </x:c>
      <x:c r="B187" s="3" t="s">
        <x:v>1480</x:v>
      </x:c>
      <x:c r="C187" s="3" t="s">
        <x:v>163</x:v>
      </x:c>
      <x:c r="D187" s="3" t="s">
        <x:v>1138</x:v>
      </x:c>
      <x:c r="E187" s="3" t="str">
        <x:f>='Reviewer_1'!N188</x:f>
        <x:v>Exclude</x:v>
      </x:c>
      <x:c r="F187" s="3" t="n">
        <x:f>='Reviewer_2'!N188</x:f>
        <x:v>0</x:v>
      </x:c>
      <x:c r="G187" s="3" t="str">
        <x:f>=IF(OR(E187="",F187=""),"Pending",IF(E187=F187,"Agree","Disagree"))</x:f>
        <x:v>Pending</x:v>
      </x:c>
      <x:c r="H187" s="3" t="str">
        <x:f>=IF(G187="Disagree","Conflict",IF(G187="Agree","No conflict","Pending"))</x:f>
        <x:v>Pending</x:v>
      </x:c>
      <x:c r="I187" s="3"/>
      <x:c r="J187" s="3"/>
      <x:c r="K187" s="3" t="s">
        <x:v>1512</x:v>
      </x:c>
      <x:c r="L187" s="3"/>
      <x:c r="M187" s="3"/>
    </x:row>
    <x:row r="188">
      <x:c r="A188" s="3" t="s">
        <x:v>1486</x:v>
      </x:c>
      <x:c r="B188" s="3" t="s">
        <x:v>1487</x:v>
      </x:c>
      <x:c r="C188" s="3" t="s">
        <x:v>1490</x:v>
      </x:c>
      <x:c r="D188" s="3" t="s">
        <x:v>1491</x:v>
      </x:c>
      <x:c r="E188" s="3" t="str">
        <x:f>='Reviewer_1'!N189</x:f>
        <x:v>Exclude</x:v>
      </x:c>
      <x:c r="F188" s="3" t="n">
        <x:f>='Reviewer_2'!N189</x:f>
        <x:v>0</x:v>
      </x:c>
      <x:c r="G188" s="3" t="str">
        <x:f>=IF(OR(E188="",F188=""),"Pending",IF(E188=F188,"Agree","Disagree"))</x:f>
        <x:v>Pending</x:v>
      </x:c>
      <x:c r="H188" s="3" t="str">
        <x:f>=IF(G188="Disagree","Conflict",IF(G188="Agree","No conflict","Pending"))</x:f>
        <x:v>Pending</x:v>
      </x:c>
      <x:c r="I188" s="3"/>
      <x:c r="J188" s="3"/>
      <x:c r="K188" s="3" t="s">
        <x:v>1512</x:v>
      </x:c>
      <x:c r="L188" s="3"/>
      <x:c r="M188" s="3"/>
    </x:row>
    <x:row r="189">
      <x:c r="A189" s="3" t="s">
        <x:v>1495</x:v>
      </x:c>
      <x:c r="B189" s="3" t="s">
        <x:v>1496</x:v>
      </x:c>
      <x:c r="C189" s="3" t="s">
        <x:v>1490</x:v>
      </x:c>
      <x:c r="D189" s="3" t="s">
        <x:v>1367</x:v>
      </x:c>
      <x:c r="E189" s="3" t="str">
        <x:f>='Reviewer_1'!N190</x:f>
        <x:v>Exclude</x:v>
      </x:c>
      <x:c r="F189" s="3" t="n">
        <x:f>='Reviewer_2'!N190</x:f>
        <x:v>0</x:v>
      </x:c>
      <x:c r="G189" s="3" t="str">
        <x:f>=IF(OR(E189="",F189=""),"Pending",IF(E189=F189,"Agree","Disagree"))</x:f>
        <x:v>Pending</x:v>
      </x:c>
      <x:c r="H189" s="3" t="str">
        <x:f>=IF(G189="Disagree","Conflict",IF(G189="Agree","No conflict","Pending"))</x:f>
        <x:v>Pending</x:v>
      </x:c>
      <x:c r="I189" s="3"/>
      <x:c r="J189" s="3"/>
      <x:c r="K189" s="3" t="s">
        <x:v>1512</x:v>
      </x:c>
      <x:c r="L189" s="3"/>
      <x:c r="M189" s="3"/>
    </x:row>
  </x:sheetData>
  <x:mergeCells>
    <x:mergeCell ref="A1:M1"/>
  </x:mergeCells>
  <x:conditionalFormatting sqref="H4:H189">
    <x:cfRule type="expression" dxfId="0" priority="1">
      <x:formula>$H4="Conflict"</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10" defaultRowHeight="15"/>
  <x:cols>
    <x:col min="1" max="1" width="45.709999084472656" hidden="0" customWidth="1"/>
    <x:col min="2" max="2" width="20.709999084472656" hidden="0" customWidth="1"/>
  </x:cols>
  <x:sheetData>
    <x:row r="1">
      <x:c r="A1" s="1" t="s">
        <x:v>1513</x:v>
      </x:c>
      <x:c r="B1" s="1"/>
    </x:row>
    <x:row r="3">
      <x:c r="A3" s="2" t="s">
        <x:v>36</x:v>
      </x:c>
      <x:c r="B3" s="2" t="s">
        <x:v>1514</x:v>
      </x:c>
    </x:row>
    <x:row r="4">
      <x:c r="A4" s="3" t="s">
        <x:v>651</x:v>
      </x:c>
      <x:c r="B4" s="3" t="n">
        <x:v>108</x:v>
      </x:c>
    </x:row>
    <x:row r="5">
      <x:c r="A5" s="3" t="s">
        <x:v>262</x:v>
      </x:c>
      <x:c r="B5" s="3" t="n">
        <x:v>32</x:v>
      </x:c>
    </x:row>
    <x:row r="6">
      <x:c r="A6" s="3" t="s">
        <x:v>493</x:v>
      </x:c>
      <x:c r="B6" s="3" t="n">
        <x:v>23</x:v>
      </x:c>
    </x:row>
    <x:row r="7">
      <x:c r="A7" s="3" t="s">
        <x:v>66</x:v>
      </x:c>
      <x:c r="B7" s="3" t="n">
        <x:v>21</x:v>
      </x:c>
    </x:row>
    <x:row r="8">
      <x:c r="A8" s="3" t="s">
        <x:v>54</x:v>
      </x:c>
      <x:c r="B8" s="3" t="n">
        <x:v>2</x:v>
      </x:c>
    </x:row>
    <x:row r="9">
      <x:c r="A9" s="3" t="s">
        <x:v>1515</x:v>
      </x:c>
      <x:c r="B9" s="3" t="n">
        <x:v>186</x:v>
      </x:c>
    </x:row>
  </x:sheetData>
  <x:mergeCells>
    <x:mergeCell ref="A1:B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10" defaultRowHeight="15"/>
  <x:sheetData>
    <x:row r="1">
      <x:c r="A1" t="s">
        <x:v>1516</x:v>
      </x:c>
      <x:c r="B1" t="s">
        <x:v>1517</x:v>
      </x:c>
      <x:c r="C1" t="s">
        <x:v>1518</x:v>
      </x:c>
      <x:c r="D1" t="s">
        <x:v>50</x:v>
      </x:c>
    </x:row>
    <x:row r="2">
      <x:c r="A2" t="s">
        <x:v>1519</x:v>
      </x:c>
      <x:c r="B2" t="s">
        <x:v>1520</x:v>
      </x:c>
      <x:c r="C2" t="s">
        <x:v>1519</x:v>
      </x:c>
      <x:c r="D2" t="s">
        <x:v>1521</x:v>
      </x:c>
    </x:row>
    <x:row r="3">
      <x:c r="A3" t="s">
        <x:v>1522</x:v>
      </x:c>
      <x:c r="B3" t="s">
        <x:v>1523</x:v>
      </x:c>
      <x:c r="C3" t="s">
        <x:v>1522</x:v>
      </x:c>
      <x:c r="D3" t="s">
        <x:v>1524</x:v>
      </x:c>
    </x:row>
    <x:row r="4">
      <x:c r="A4" t="s">
        <x:v>1525</x:v>
      </x:c>
      <x:c r="B4" t="s">
        <x:v>1526</x:v>
      </x:c>
      <x:c r="C4" t="s">
        <x:v>1527</x:v>
      </x:c>
      <x:c r="D4" t="s">
        <x:v>1528</x:v>
      </x:c>
    </x:row>
    <x:row r="5">
      <x:c r="A5"/>
      <x:c r="B5" t="s">
        <x:v>1529</x:v>
      </x:c>
      <x:c r="C5"/>
      <x:c r="D5"/>
    </x:row>
    <x:row r="6">
      <x:c r="A6"/>
      <x:c r="B6" t="s">
        <x:v>1530</x:v>
      </x:c>
      <x:c r="C6"/>
      <x:c r="D6"/>
    </x:row>
    <x:row r="7">
      <x:c r="A7"/>
      <x:c r="B7" t="s">
        <x:v>1531</x:v>
      </x:c>
      <x:c r="C7"/>
      <x:c r="D7"/>
    </x:row>
    <x:row r="8">
      <x:c r="A8"/>
      <x:c r="B8" t="s">
        <x:v>1532</x:v>
      </x:c>
      <x:c r="C8"/>
      <x:c r="D8"/>
    </x:row>
    <x:row r="9">
      <x:c r="A9"/>
      <x:c r="B9" t="s">
        <x:v>1533</x:v>
      </x:c>
      <x:c r="C9"/>
      <x:c r="D9"/>
    </x:row>
    <x:row r="10">
      <x:c r="A10"/>
      <x:c r="B10" t="s">
        <x:v>1534</x:v>
      </x:c>
      <x:c r="C10"/>
      <x:c r="D10"/>
    </x:row>
    <x:row r="11">
      <x:c r="A11"/>
      <x:c r="B11" t="s">
        <x:v>1535</x:v>
      </x:c>
      <x:c r="C11"/>
      <x:c r="D11"/>
    </x:row>
    <x:row r="12">
      <x:c r="A12"/>
      <x:c r="B12" t="s">
        <x:v>1536</x:v>
      </x:c>
      <x:c r="C12"/>
      <x:c r="D12"/>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70" hidden="0" customWidth="1"/>
    <x:col min="4" max="4" width="42" hidden="0" customWidth="1"/>
    <x:col min="5" max="5" width="12" hidden="0" customWidth="1"/>
  </x:cols>
  <x:sheetData>
    <x:row r="1">
      <x:c r="A1" s="13" t="str">
        <x:v>Universal SR-MA Agent Toolkit — Primary Screening Audit</x:v>
      </x:c>
      <x:c r="B1" s="13"/>
      <x:c r="C1" s="13"/>
      <x:c r="D1" s="13"/>
    </x:row>
    <x:row r="3">
      <x:c r="A3" s="22" t="str">
        <x:v>Field</x:v>
      </x:c>
      <x:c r="B3" s="22" t="str">
        <x:v>Value</x:v>
      </x:c>
      <x:c r="D3" s="22" t="str">
        <x:v>Exclusion reason</x:v>
      </x:c>
      <x:c r="E3" s="22" t="str">
        <x:v>Count</x:v>
      </x:c>
    </x:row>
    <x:row r="4">
      <x:c r="A4" s="23" t="str">
        <x:v>Project</x:v>
      </x:c>
      <x:c r="B4" s="23" t="str">
        <x:v>Effects of SGLT2 Inhibitors in Patients Undergoing Cardiac Surgery</x:v>
      </x:c>
      <x:c r="D4" s="23" t="str">
        <x:v>Protocol, editorial, commentary, or review</x:v>
      </x:c>
      <x:c r="E4" s="23" t="n">
        <x:v>67</x:v>
      </x:c>
    </x:row>
    <x:row r="5">
      <x:c r="A5" s="23" t="str">
        <x:v>Reviewer role</x:v>
      </x:c>
      <x:c r="B5" s="23" t="str">
        <x:v>Reviewer 1</x:v>
      </x:c>
      <x:c r="D5" s="23" t="str">
        <x:v>Not cardiac surgery</x:v>
      </x:c>
      <x:c r="E5" s="23" t="n">
        <x:v>16</x:v>
      </x:c>
    </x:row>
    <x:row r="6">
      <x:c r="A6" s="23" t="str">
        <x:v>Reviewer identity</x:v>
      </x:c>
      <x:c r="B6" s="23" t="str">
        <x:v>Agent Reviewer 1</x:v>
      </x:c>
      <x:c r="D6" s="23" t="str">
        <x:v>No relevant clinical outcome</x:v>
      </x:c>
      <x:c r="E6" s="23" t="n">
        <x:v>16</x:v>
      </x:c>
    </x:row>
    <x:row r="7">
      <x:c r="A7" s="23" t="str">
        <x:v>Screening stage</x:v>
      </x:c>
      <x:c r="B7" s="23" t="str">
        <x:v>Title and abstract primary screening</x:v>
      </x:c>
      <x:c r="D7" s="23" t="str">
        <x:v>Wrong study design</x:v>
      </x:c>
      <x:c r="E7" s="23" t="n">
        <x:v>15</x:v>
      </x:c>
    </x:row>
    <x:row r="8">
      <x:c r="A8" s="23" t="str">
        <x:v>Screening date</x:v>
      </x:c>
      <x:c r="B8" s="23" t="str">
        <x:v>2026-08-02</x:v>
      </x:c>
      <x:c r="D8" s="23" t="str">
        <x:v>Animal or laboratory study</x:v>
      </x:c>
      <x:c r="E8" s="23" t="n">
        <x:v>14</x:v>
      </x:c>
    </x:row>
    <x:row r="9">
      <x:c r="A9" s="23" t="str">
        <x:v>Total records</x:v>
      </x:c>
      <x:c r="B9" s="23" t="n">
        <x:v>186</x:v>
      </x:c>
      <x:c r="D9" s="23" t="str">
        <x:v>No SGLT2 inhibitor exposure</x:v>
      </x:c>
      <x:c r="E9" s="23" t="n">
        <x:v>13</x:v>
      </x:c>
    </x:row>
    <x:row r="10">
      <x:c r="A10" s="23" t="str">
        <x:v>Include</x:v>
      </x:c>
      <x:c r="B10" s="23" t="n">
        <x:v>24</x:v>
      </x:c>
      <x:c r="D10" s="23" t="str">
        <x:v>Wrong population</x:v>
      </x:c>
      <x:c r="E10" s="23" t="n">
        <x:v>9</x:v>
      </x:c>
    </x:row>
    <x:row r="11">
      <x:c r="A11" s="23" t="str">
        <x:v>Exclude</x:v>
      </x:c>
      <x:c r="B11" s="23" t="n">
        <x:v>154</x:v>
      </x:c>
      <x:c r="D11" s="23" t="str">
        <x:v>Conference abstract with insufficient information</x:v>
      </x:c>
      <x:c r="E11" s="23" t="n">
        <x:v>4</x:v>
      </x:c>
    </x:row>
    <x:row r="12">
      <x:c r="A12" s="23" t="str">
        <x:v>Unclear</x:v>
      </x:c>
      <x:c r="B12" s="23" t="n">
        <x:v>8</x:v>
      </x:c>
    </x:row>
    <x:row r="13">
      <x:c r="A13" s="23" t="str">
        <x:v>Reviewer 2</x:v>
      </x:c>
      <x:c r="B13" s="23" t="str">
        <x:v>Human reviewer — not completed</x:v>
      </x:c>
    </x:row>
    <x:row r="14">
      <x:c r="A14" s="23" t="str">
        <x:v>Adjudicator</x:v>
      </x:c>
      <x:c r="B14" s="23" t="str">
        <x:v>Human reviewer — not completed</x:v>
      </x:c>
    </x:row>
    <x:row r="15">
      <x:c r="A15" s="23"/>
      <x:c r="B15" s="23"/>
    </x:row>
    <x:row r="16">
      <x:c r="A16" s="22" t="str">
        <x:v>Screening principle</x:v>
      </x:c>
      <x:c r="B16" s="22" t="str">
        <x:v>Application</x:v>
      </x:c>
    </x:row>
    <x:row r="17">
      <x:c r="A17" s="23" t="str">
        <x:v>Sensitivity</x:v>
      </x:c>
      <x:c r="B17" s="23" t="str">
        <x:v>Include only clearly eligible primary human cardiac-surgery studies; use Unclear for genuine protocol-scope ambiguity.</x:v>
      </x:c>
    </x:row>
    <x:row r="18">
      <x:c r="A18" s="23" t="str">
        <x:v>Secondary publications</x:v>
      </x:c>
      <x:c r="B18" s="23" t="str">
        <x:v>Exclude reviews, meta-analyses, protocols, registries, editorials, and letters.</x:v>
      </x:c>
    </x:row>
    <x:row r="19">
      <x:c r="A19" s="23" t="str">
        <x:v>Study design</x:v>
      </x:c>
      <x:c r="B19" s="23" t="str">
        <x:v>Exclude case reports/series when comparative or cohort evidence is required.</x:v>
      </x:c>
    </x:row>
    <x:row r="20">
      <x:c r="A20" s="23" t="str">
        <x:v>Procedure scope</x:v>
      </x:c>
      <x:c r="B20" s="23" t="str">
        <x:v>Exclude TAVI/TAVR and other transcatheter procedures as not open cardiac surgery.</x:v>
      </x:c>
    </x:row>
    <x:row r="21">
      <x:c r="A21" s="23" t="str">
        <x:v>Nonclinical evidence</x:v>
      </x:c>
      <x:c r="B21" s="23" t="str">
        <x:v>Exclude animal, in vitro, ex vivo, and mechanistic laboratory studies.</x:v>
      </x:c>
    </x:row>
    <x:row r="22">
      <x:c r="A22" s="23" t="str">
        <x:v>Unclear handling</x:v>
      </x:c>
      <x:c r="B22" s="23" t="str">
        <x:v>Retain ambiguous transplant/LVAD or timing-related records for human review.</x:v>
      </x:c>
    </x:row>
    <x:row r="23">
      <x:c r="A23" s="23" t="str">
        <x:v>Human oversight</x:v>
      </x:c>
      <x:c r="B23" s="23" t="str">
        <x:v>Reviewer 2 and all adjudication decisions remain entirely human.</x:v>
      </x:c>
    </x:row>
    <x:row r="24">
      <x:c r="A24" s="23" t="str">
        <x:v>Audit note</x:v>
      </x:c>
      <x:c r="B24" s="23" t="str">
        <x:v>Agent decisions are preliminary and must not replace independent human verification.</x:v>
      </x:c>
    </x:row>
    <x:row r="25">
      <x:c r="A25" s="23" t="str">
        <x:v>Output file</x:v>
      </x:c>
      <x:c r="B25" s="23" t="str">
        <x:v>title_abstract_screening_agent.xlsx</x:v>
      </x:c>
    </x:row>
  </x:sheetData>
  <x:mergeCells>
    <x:mergeCell ref="A1:D1"/>
  </x:mergeCells>
  <x:pageMargins left="0.7" right="0.7" top="0.75" bottom="0.75" header="0.3" footer="0.3"/>
</x:worksheet>
</file>